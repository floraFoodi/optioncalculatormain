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loraqian/MachineLearningData/excel/optioncalculatormain/"/>
    </mc:Choice>
  </mc:AlternateContent>
  <xr:revisionPtr revIDLastSave="0" documentId="13_ncr:1_{58A1BDC1-FF96-0646-A00B-084CDE8EAFAB}" xr6:coauthVersionLast="47" xr6:coauthVersionMax="47" xr10:uidLastSave="{00000000-0000-0000-0000-000000000000}"/>
  <bookViews>
    <workbookView xWindow="-27120" yWindow="3140" windowWidth="26280" windowHeight="13560" tabRatio="500" activeTab="6" xr2:uid="{00000000-000D-0000-FFFF-FFFF00000000}"/>
  </bookViews>
  <sheets>
    <sheet name="StockList" sheetId="4" r:id="rId1"/>
    <sheet name="QQQ" sheetId="25" r:id="rId2"/>
    <sheet name="TSLA" sheetId="37" r:id="rId3"/>
    <sheet name="NVDA" sheetId="38" r:id="rId4"/>
    <sheet name="AMZN" sheetId="39" r:id="rId5"/>
    <sheet name="PYPL" sheetId="40" r:id="rId6"/>
    <sheet name="Share Cal" sheetId="42" r:id="rId7"/>
    <sheet name="_xlwings.conf" sheetId="2" state="hidden" r:id="rId8"/>
  </sheets>
  <definedNames>
    <definedName name="StockListRange" localSheetId="0">StockList!$A$1:$C$17</definedName>
    <definedName name="StockListRange">StockList!$A$1:$C$3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42" l="1"/>
  <c r="B7" i="42"/>
  <c r="K1" i="40" a="1"/>
  <c r="K1" i="40"/>
  <c r="D5" i="40"/>
  <c r="Y5" i="40"/>
  <c r="C5" i="40"/>
  <c r="X5" i="40"/>
  <c r="B5" i="40"/>
  <c r="W5" i="40"/>
  <c r="R5" i="40"/>
  <c r="Q5" i="40"/>
  <c r="P5" i="40"/>
  <c r="K5" i="40"/>
  <c r="J5" i="40"/>
  <c r="I5" i="40"/>
  <c r="R2" i="40"/>
  <c r="Q2" i="40"/>
  <c r="P2" i="40"/>
  <c r="O2" i="40"/>
  <c r="D2" i="40"/>
  <c r="C2" i="40"/>
  <c r="B2" i="40"/>
  <c r="A2" i="40"/>
  <c r="K1" i="39" a="1"/>
  <c r="K1" i="39"/>
  <c r="D5" i="39"/>
  <c r="Y5" i="39"/>
  <c r="C5" i="39"/>
  <c r="X5" i="39"/>
  <c r="B5" i="39"/>
  <c r="W5" i="39"/>
  <c r="R5" i="39"/>
  <c r="Q5" i="39"/>
  <c r="P5" i="39"/>
  <c r="K5" i="39"/>
  <c r="J5" i="39"/>
  <c r="I5" i="39"/>
  <c r="R2" i="39"/>
  <c r="Q2" i="39"/>
  <c r="P2" i="39"/>
  <c r="O2" i="39"/>
  <c r="D2" i="39"/>
  <c r="C2" i="39"/>
  <c r="B2" i="39"/>
  <c r="A2" i="39"/>
  <c r="K1" i="38" a="1"/>
  <c r="K1" i="38"/>
  <c r="D5" i="38"/>
  <c r="Y5" i="38"/>
  <c r="C5" i="38"/>
  <c r="X5" i="38"/>
  <c r="B5" i="38"/>
  <c r="W5" i="38"/>
  <c r="R5" i="38"/>
  <c r="Q5" i="38"/>
  <c r="P5" i="38"/>
  <c r="K5" i="38"/>
  <c r="J5" i="38"/>
  <c r="I5" i="38"/>
  <c r="R2" i="38"/>
  <c r="Q2" i="38"/>
  <c r="P2" i="38"/>
  <c r="O2" i="38"/>
  <c r="D2" i="38"/>
  <c r="C2" i="38"/>
  <c r="B2" i="38"/>
  <c r="A2" i="38"/>
  <c r="K1" i="37" a="1"/>
  <c r="K1" i="37"/>
  <c r="D5" i="37"/>
  <c r="Y5" i="37"/>
  <c r="C5" i="37"/>
  <c r="X5" i="37"/>
  <c r="B5" i="37"/>
  <c r="W5" i="37"/>
  <c r="R5" i="37"/>
  <c r="Q5" i="37"/>
  <c r="P5" i="37"/>
  <c r="K5" i="37"/>
  <c r="J5" i="37"/>
  <c r="I5" i="37"/>
  <c r="R2" i="37"/>
  <c r="Q2" i="37"/>
  <c r="P2" i="37"/>
  <c r="O2" i="37"/>
  <c r="D2" i="37"/>
  <c r="C2" i="37"/>
  <c r="B2" i="37"/>
  <c r="A2" i="37"/>
  <c r="K1" i="25" a="1"/>
  <c r="K1" i="25"/>
  <c r="R5" i="25"/>
  <c r="P5" i="25"/>
  <c r="D5" i="25"/>
  <c r="R2" i="25"/>
  <c r="Q2" i="25"/>
  <c r="P2" i="25"/>
  <c r="O2" i="25"/>
  <c r="D2" i="25"/>
  <c r="C2" i="25"/>
  <c r="B2" i="25"/>
  <c r="C5" i="25"/>
  <c r="X5" i="25"/>
  <c r="Q5" i="25"/>
  <c r="A2" i="25"/>
  <c r="B5" i="25"/>
  <c r="Y5" i="25"/>
  <c r="W5" i="25"/>
  <c r="K5" i="25"/>
  <c r="I5" i="25"/>
  <c r="J5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<sst xmlns="http://schemas.openxmlformats.org/spreadsheetml/2006/main" count="321" uniqueCount="67">
  <si>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</si>
  <si>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</si>
  <si>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</si>
  <si>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</si>
  <si>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</si>
  <si>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</si>
  <si>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</si>
  <si>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</si>
  <si>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</si>
  <si>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</si>
  <si>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</si>
  <si>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</si>
  <si>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</si>
  <si>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</si>
  <si>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</si>
  <si>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</t>
  </si>
  <si>
    <t>Update</t>
  </si>
  <si>
    <t>0</t>
  </si>
  <si>
    <t>1</t>
  </si>
  <si>
    <t>Comments:</t>
  </si>
  <si>
    <t>Update Flag:</t>
  </si>
  <si>
    <t>Column A Is the index column, make sure to enter sequency with text format (add a ' in front of the number, such as '1)</t>
  </si>
  <si>
    <t>EXPIRATION</t>
  </si>
  <si>
    <t>VOLATILITY</t>
  </si>
  <si>
    <t>price</t>
  </si>
  <si>
    <t>call</t>
  </si>
  <si>
    <t>put</t>
  </si>
  <si>
    <t>2</t>
  </si>
  <si>
    <t>3</t>
  </si>
  <si>
    <t>4</t>
  </si>
  <si>
    <t>5</t>
  </si>
  <si>
    <t>6</t>
  </si>
  <si>
    <t>7</t>
  </si>
  <si>
    <t>8</t>
  </si>
  <si>
    <t>9</t>
  </si>
  <si>
    <t>NVDA</t>
  </si>
  <si>
    <t>PYPL</t>
  </si>
  <si>
    <t>ATR</t>
  </si>
  <si>
    <t>QQQ</t>
  </si>
  <si>
    <t>AMZN</t>
  </si>
  <si>
    <t>TSLA</t>
  </si>
  <si>
    <t>Expirate Date</t>
  </si>
  <si>
    <t>SPOT</t>
  </si>
  <si>
    <t>Target</t>
  </si>
  <si>
    <t>Stop</t>
  </si>
  <si>
    <t>stop</t>
  </si>
  <si>
    <t>Exipiration Date</t>
  </si>
  <si>
    <t>price pct</t>
  </si>
  <si>
    <t>call pct</t>
  </si>
  <si>
    <t>put pct</t>
  </si>
  <si>
    <t>STRIKE</t>
  </si>
  <si>
    <t>RATE</t>
  </si>
  <si>
    <t>PLUG</t>
  </si>
  <si>
    <t>AMD</t>
  </si>
  <si>
    <t>Strike</t>
  </si>
  <si>
    <t>VI</t>
  </si>
  <si>
    <t>Rate</t>
  </si>
  <si>
    <t>LONG</t>
  </si>
  <si>
    <t>SHORT</t>
  </si>
  <si>
    <t>Call Spot</t>
  </si>
  <si>
    <t>Put Spot</t>
  </si>
  <si>
    <t>Currrent share</t>
  </si>
  <si>
    <t>Currnet price</t>
  </si>
  <si>
    <t>Target price</t>
  </si>
  <si>
    <t>Share to acquire</t>
  </si>
  <si>
    <t>Amount to spend</t>
  </si>
  <si>
    <t>Original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</si>
</sst>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FBDE2D"/>
      <name val="Courier New"/>
      <family val="1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3" borderId="0" xfId="0" applyFill="1"/>
    <xf numFmtId="0" fontId="0" fillId="5" borderId="0" xfId="0" applyFill="1"/>
    <xf numFmtId="0" fontId="2" fillId="7" borderId="10" xfId="0" applyFont="1" applyFill="1" applyBorder="1"/>
    <xf numFmtId="0" fontId="2" fillId="7" borderId="11" xfId="0" applyFont="1" applyFill="1" applyBorder="1"/>
    <xf numFmtId="0" fontId="2" fillId="7" borderId="12" xfId="0" applyFont="1" applyFill="1" applyBorder="1"/>
    <xf numFmtId="0" fontId="3" fillId="6" borderId="7" xfId="0" quotePrefix="1" applyFont="1" applyFill="1" applyBorder="1"/>
    <xf numFmtId="0" fontId="3" fillId="6" borderId="8" xfId="0" applyFont="1" applyFill="1" applyBorder="1"/>
    <xf numFmtId="0" fontId="3" fillId="6" borderId="9" xfId="0" applyFont="1" applyFill="1" applyBorder="1"/>
    <xf numFmtId="0" fontId="3" fillId="6" borderId="2" xfId="0" quotePrefix="1" applyFont="1" applyFill="1" applyBorder="1"/>
    <xf numFmtId="0" fontId="3" fillId="6" borderId="1" xfId="0" applyFont="1" applyFill="1" applyBorder="1"/>
    <xf numFmtId="0" fontId="3" fillId="6" borderId="3" xfId="0" applyFont="1" applyFill="1" applyBorder="1"/>
    <xf numFmtId="0" fontId="3" fillId="6" borderId="2" xfId="0" applyFont="1" applyFill="1" applyBorder="1"/>
    <xf numFmtId="0" fontId="3" fillId="6" borderId="4" xfId="0" applyFont="1" applyFill="1" applyBorder="1"/>
    <xf numFmtId="0" fontId="3" fillId="6" borderId="5" xfId="0" applyFont="1" applyFill="1" applyBorder="1"/>
    <xf numFmtId="0" fontId="3" fillId="6" borderId="6" xfId="0" applyFont="1" applyFill="1" applyBorder="1"/>
    <xf numFmtId="0" fontId="4" fillId="6" borderId="0" xfId="0" applyFont="1" applyFill="1"/>
    <xf numFmtId="0" fontId="4" fillId="0" borderId="0" xfId="0" applyFont="1"/>
    <xf numFmtId="0" fontId="4" fillId="3" borderId="0" xfId="0" applyFont="1" applyFill="1"/>
    <xf numFmtId="0" fontId="5" fillId="8" borderId="0" xfId="0" applyFont="1" applyFill="1"/>
    <xf numFmtId="0" fontId="4" fillId="5" borderId="0" xfId="0" applyFont="1" applyFill="1"/>
    <xf numFmtId="0" fontId="4" fillId="2" borderId="0" xfId="0" applyFont="1" applyFill="1"/>
    <xf numFmtId="0" fontId="4" fillId="9" borderId="0" xfId="0" applyFont="1" applyFill="1"/>
    <xf numFmtId="0" fontId="4" fillId="4" borderId="0" xfId="0" applyFont="1" applyFill="1"/>
    <xf numFmtId="0" fontId="4" fillId="11" borderId="0" xfId="0" applyFont="1" applyFill="1"/>
    <xf numFmtId="0" fontId="4" fillId="10" borderId="0" xfId="0" applyFont="1" applyFill="1"/>
    <xf numFmtId="0" fontId="4" fillId="12" borderId="0" xfId="0" applyFont="1" applyFill="1"/>
    <xf numFmtId="22" fontId="4" fillId="0" borderId="0" xfId="0" applyNumberFormat="1" applyFont="1"/>
    <xf numFmtId="0" fontId="4" fillId="0" borderId="0" xfId="0" applyFont="1" applyAlignment="1">
      <alignment wrapText="1"/>
    </xf>
    <xf numFmtId="0" fontId="2" fillId="13" borderId="0" xfId="0" applyFont="1" applyFill="1"/>
    <xf numFmtId="0" fontId="3" fillId="13" borderId="0" xfId="0" applyFont="1" applyFill="1"/>
    <xf numFmtId="0" fontId="6" fillId="0" borderId="0" xfId="0" applyFont="1"/>
    <xf numFmtId="0" fontId="4" fillId="14" borderId="0" xfId="0" applyFont="1" applyFill="1"/>
    <xf numFmtId="0" fontId="5" fillId="0" borderId="0" xfId="0" applyFont="1"/>
    <xf numFmtId="0" fontId="2" fillId="9" borderId="0" xfId="0" applyFont="1" applyFill="1"/>
    <xf numFmtId="0" fontId="3" fillId="9" borderId="0" xfId="0" applyFont="1" applyFill="1"/>
    <xf numFmtId="0" fontId="2" fillId="7" borderId="0" xfId="0" applyFont="1" applyFill="1"/>
    <xf numFmtId="0" fontId="3" fillId="7" borderId="0" xfId="0" applyFont="1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202E-8AB8-0647-A2A7-FA6D0B333E78}">
  <dimension ref="A1:AD17"/>
  <sheetViews>
    <sheetView zoomScale="98" zoomScaleNormal="98" workbookViewId="0">
      <selection activeCell="Q1" sqref="Q1"/>
    </sheetView>
  </sheetViews>
  <sheetFormatPr baseColWidth="10" defaultRowHeight="16" x14ac:dyDescent="0.2"/>
  <cols>
    <col min="1" max="1" width="2.5" bestFit="1" customWidth="1"/>
    <col min="2" max="2" width="9.83203125" bestFit="1" customWidth="1"/>
    <col min="3" max="3" width="12" customWidth="1"/>
    <col min="4" max="4" width="14.5" bestFit="1" customWidth="1"/>
    <col min="5" max="5" width="14.1640625" bestFit="1" customWidth="1"/>
    <col min="10" max="10" width="13.6640625" bestFit="1" customWidth="1"/>
  </cols>
  <sheetData>
    <row r="1" spans="1:30" ht="27" thickBot="1" x14ac:dyDescent="0.35">
      <c r="A1" s="5"/>
      <c r="B1" s="6" t="s">
        <v>15</v>
      </c>
      <c r="C1" s="7" t="s">
        <v>16</v>
      </c>
      <c r="D1" s="3" t="s">
        <v>46</v>
      </c>
      <c r="E1" s="38" t="s">
        <v>59</v>
      </c>
      <c r="F1" s="38" t="s">
        <v>54</v>
      </c>
      <c r="G1" s="38" t="s">
        <v>55</v>
      </c>
      <c r="H1" s="38" t="s">
        <v>43</v>
      </c>
      <c r="I1" s="38" t="s">
        <v>44</v>
      </c>
      <c r="J1" s="36" t="s">
        <v>60</v>
      </c>
      <c r="K1" s="36" t="s">
        <v>54</v>
      </c>
      <c r="L1" s="36" t="s">
        <v>55</v>
      </c>
      <c r="M1" s="36" t="s">
        <v>43</v>
      </c>
      <c r="N1" s="36" t="s">
        <v>44</v>
      </c>
      <c r="O1" s="31" t="s">
        <v>37</v>
      </c>
      <c r="P1" s="31" t="s">
        <v>56</v>
      </c>
      <c r="U1" s="4" t="s">
        <v>19</v>
      </c>
      <c r="V1" s="4"/>
      <c r="W1" s="4"/>
      <c r="X1" s="4"/>
      <c r="Y1" s="4"/>
      <c r="Z1" s="4"/>
      <c r="AA1" s="4"/>
      <c r="AB1" s="4"/>
      <c r="AC1" s="4"/>
      <c r="AD1" s="4"/>
    </row>
    <row r="2" spans="1:30" ht="21" x14ac:dyDescent="0.25">
      <c r="A2" s="8" t="s">
        <v>17</v>
      </c>
      <c r="B2" s="9" t="s">
        <v>38</v>
      </c>
      <c r="C2" s="10">
        <v>1</v>
      </c>
      <c r="D2" s="3">
        <v>0.75</v>
      </c>
      <c r="E2" s="39">
        <v>305</v>
      </c>
      <c r="F2" s="39">
        <v>309</v>
      </c>
      <c r="G2" s="39">
        <v>28.93</v>
      </c>
      <c r="H2" s="39">
        <v>308.89999999999998</v>
      </c>
      <c r="I2" s="39">
        <v>306.5</v>
      </c>
      <c r="J2" s="37">
        <v>301</v>
      </c>
      <c r="K2" s="37">
        <v>300</v>
      </c>
      <c r="L2" s="37">
        <v>26.93</v>
      </c>
      <c r="M2" s="37">
        <v>308.89999999999998</v>
      </c>
      <c r="N2" s="37">
        <v>306.5</v>
      </c>
      <c r="O2" s="32">
        <v>0.2</v>
      </c>
      <c r="P2" s="32"/>
      <c r="U2" s="4" t="s">
        <v>20</v>
      </c>
      <c r="V2" s="4"/>
      <c r="W2" s="4"/>
      <c r="X2" s="4"/>
      <c r="Y2" s="4"/>
      <c r="Z2" s="4"/>
      <c r="AA2" s="4"/>
      <c r="AB2" s="4"/>
      <c r="AC2" s="4"/>
      <c r="AD2" s="4"/>
    </row>
    <row r="3" spans="1:30" ht="21" x14ac:dyDescent="0.25">
      <c r="A3" s="11" t="s">
        <v>18</v>
      </c>
      <c r="B3" s="12" t="s">
        <v>39</v>
      </c>
      <c r="C3" s="13">
        <v>0</v>
      </c>
      <c r="E3" s="39">
        <v>102</v>
      </c>
      <c r="F3" s="39">
        <v>106</v>
      </c>
      <c r="G3" s="39">
        <v>46.94</v>
      </c>
      <c r="H3" s="39">
        <v>103</v>
      </c>
      <c r="I3" s="39">
        <v>98.7</v>
      </c>
      <c r="J3" s="37">
        <v>102</v>
      </c>
      <c r="K3" s="37">
        <v>106</v>
      </c>
      <c r="L3" s="37">
        <v>46.94</v>
      </c>
      <c r="M3" s="37">
        <v>103</v>
      </c>
      <c r="N3" s="37">
        <v>98.7</v>
      </c>
      <c r="O3" s="32">
        <v>0.15</v>
      </c>
      <c r="P3" s="32"/>
      <c r="U3" s="4" t="b">
        <v>1</v>
      </c>
      <c r="V3" s="4">
        <v>1</v>
      </c>
      <c r="W3" s="4"/>
      <c r="X3" s="4"/>
      <c r="Y3" s="4"/>
      <c r="Z3" s="4"/>
      <c r="AA3" s="4"/>
      <c r="AB3" s="4"/>
      <c r="AC3" s="4"/>
      <c r="AD3" s="4"/>
    </row>
    <row r="4" spans="1:30" ht="21" x14ac:dyDescent="0.25">
      <c r="A4" s="11" t="s">
        <v>27</v>
      </c>
      <c r="B4" s="12" t="s">
        <v>40</v>
      </c>
      <c r="C4" s="13">
        <v>0</v>
      </c>
      <c r="E4" s="39">
        <v>207</v>
      </c>
      <c r="F4" s="39">
        <v>217.5</v>
      </c>
      <c r="G4" s="39">
        <v>80.91</v>
      </c>
      <c r="H4" s="39">
        <v>211</v>
      </c>
      <c r="I4" s="39">
        <v>196</v>
      </c>
      <c r="J4" s="37">
        <v>207</v>
      </c>
      <c r="K4" s="37">
        <v>217.5</v>
      </c>
      <c r="L4" s="37">
        <v>80.91</v>
      </c>
      <c r="M4" s="37">
        <v>211</v>
      </c>
      <c r="N4" s="37">
        <v>196</v>
      </c>
      <c r="O4" s="32">
        <v>0.3</v>
      </c>
      <c r="P4" s="32"/>
      <c r="U4" s="4" t="b">
        <v>0</v>
      </c>
      <c r="V4" s="4">
        <v>0</v>
      </c>
      <c r="W4" s="4"/>
      <c r="X4" s="4"/>
      <c r="Y4" s="4"/>
      <c r="Z4" s="4"/>
      <c r="AA4" s="4"/>
      <c r="AB4" s="4"/>
      <c r="AC4" s="4"/>
      <c r="AD4" s="4"/>
    </row>
    <row r="5" spans="1:30" ht="21" x14ac:dyDescent="0.25">
      <c r="A5" s="11" t="s">
        <v>28</v>
      </c>
      <c r="B5" s="12" t="s">
        <v>36</v>
      </c>
      <c r="C5" s="13">
        <v>0</v>
      </c>
      <c r="E5" s="39">
        <v>81.3</v>
      </c>
      <c r="F5" s="39">
        <v>80</v>
      </c>
      <c r="G5" s="39">
        <v>43.41</v>
      </c>
      <c r="H5" s="39">
        <v>81.069999999999993</v>
      </c>
      <c r="I5" s="39">
        <v>81.5</v>
      </c>
      <c r="J5" s="37">
        <v>81.3</v>
      </c>
      <c r="K5" s="37">
        <v>80</v>
      </c>
      <c r="L5" s="37">
        <v>43.41</v>
      </c>
      <c r="M5" s="37">
        <v>81.069999999999993</v>
      </c>
      <c r="N5" s="37">
        <v>81.5</v>
      </c>
      <c r="O5" s="32">
        <v>0.15</v>
      </c>
      <c r="P5" s="32"/>
      <c r="U5" s="4" t="s">
        <v>21</v>
      </c>
      <c r="V5" s="4"/>
      <c r="W5" s="4"/>
      <c r="X5" s="4"/>
      <c r="Y5" s="4"/>
      <c r="Z5" s="4"/>
      <c r="AA5" s="4"/>
      <c r="AB5" s="4"/>
      <c r="AC5" s="4"/>
      <c r="AD5" s="4"/>
    </row>
    <row r="6" spans="1:30" ht="21" x14ac:dyDescent="0.25">
      <c r="A6" s="11" t="s">
        <v>29</v>
      </c>
      <c r="B6" s="12" t="s">
        <v>35</v>
      </c>
      <c r="C6" s="13">
        <v>0</v>
      </c>
      <c r="E6" s="39">
        <v>227</v>
      </c>
      <c r="F6" s="39">
        <v>235</v>
      </c>
      <c r="G6" s="39">
        <v>60.67</v>
      </c>
      <c r="H6" s="39">
        <v>230</v>
      </c>
      <c r="I6" s="39">
        <v>222</v>
      </c>
      <c r="J6" s="37">
        <v>227</v>
      </c>
      <c r="K6" s="37">
        <v>235</v>
      </c>
      <c r="L6" s="37">
        <v>60.67</v>
      </c>
      <c r="M6" s="37">
        <v>230</v>
      </c>
      <c r="N6" s="37">
        <v>222</v>
      </c>
      <c r="O6" s="32">
        <v>0.2</v>
      </c>
      <c r="P6" s="32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21" x14ac:dyDescent="0.25">
      <c r="A7" s="11" t="s">
        <v>30</v>
      </c>
      <c r="B7" s="12" t="s">
        <v>52</v>
      </c>
      <c r="C7" s="13">
        <v>0</v>
      </c>
      <c r="E7" s="39"/>
      <c r="F7" s="39"/>
      <c r="G7" s="39"/>
      <c r="H7" s="39"/>
      <c r="I7" s="39"/>
      <c r="J7" s="37"/>
      <c r="K7" s="37"/>
      <c r="L7" s="37"/>
      <c r="M7" s="37"/>
      <c r="N7" s="37"/>
      <c r="O7" s="32"/>
      <c r="P7" s="32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21" x14ac:dyDescent="0.25">
      <c r="A8" s="11" t="s">
        <v>31</v>
      </c>
      <c r="B8" s="12" t="s">
        <v>53</v>
      </c>
      <c r="C8" s="13">
        <v>0</v>
      </c>
      <c r="E8" s="39"/>
      <c r="F8" s="39"/>
      <c r="G8" s="39"/>
      <c r="H8" s="39"/>
      <c r="I8" s="39"/>
      <c r="J8" s="37"/>
      <c r="K8" s="37"/>
      <c r="L8" s="37"/>
      <c r="M8" s="37"/>
      <c r="N8" s="37"/>
      <c r="O8" s="32"/>
      <c r="P8" s="32"/>
    </row>
    <row r="9" spans="1:30" ht="21" x14ac:dyDescent="0.25">
      <c r="A9" s="11" t="s">
        <v>32</v>
      </c>
      <c r="B9" s="12"/>
      <c r="C9" s="13"/>
      <c r="E9" s="39"/>
      <c r="F9" s="39"/>
      <c r="G9" s="39"/>
      <c r="H9" s="39"/>
      <c r="I9" s="39"/>
      <c r="J9" s="37"/>
      <c r="K9" s="37"/>
      <c r="L9" s="37"/>
      <c r="M9" s="37"/>
      <c r="N9" s="37"/>
      <c r="O9" s="32"/>
      <c r="P9" s="32"/>
    </row>
    <row r="10" spans="1:30" ht="21" x14ac:dyDescent="0.25">
      <c r="A10" s="11" t="s">
        <v>33</v>
      </c>
      <c r="B10" s="12"/>
      <c r="C10" s="13"/>
      <c r="E10" s="39"/>
      <c r="F10" s="39"/>
      <c r="G10" s="39"/>
      <c r="H10" s="39"/>
      <c r="I10" s="39"/>
      <c r="J10" s="37"/>
      <c r="K10" s="37"/>
      <c r="L10" s="37"/>
      <c r="M10" s="37"/>
      <c r="N10" s="37"/>
      <c r="O10" s="32"/>
      <c r="P10" s="32"/>
    </row>
    <row r="11" spans="1:30" ht="21" x14ac:dyDescent="0.25">
      <c r="A11" s="11" t="s">
        <v>34</v>
      </c>
      <c r="B11" s="12"/>
      <c r="C11" s="13"/>
      <c r="E11" s="39"/>
      <c r="F11" s="39"/>
      <c r="G11" s="39"/>
      <c r="H11" s="39"/>
      <c r="I11" s="39"/>
      <c r="J11" s="37"/>
      <c r="K11" s="37"/>
      <c r="L11" s="37"/>
      <c r="M11" s="37"/>
      <c r="N11" s="37"/>
      <c r="O11" s="32"/>
      <c r="P11" s="32"/>
    </row>
    <row r="12" spans="1:30" ht="21" x14ac:dyDescent="0.25">
      <c r="A12" s="14"/>
      <c r="B12" s="12"/>
      <c r="C12" s="13"/>
      <c r="E12" s="39"/>
      <c r="F12" s="39"/>
      <c r="G12" s="39"/>
      <c r="H12" s="39"/>
      <c r="I12" s="39"/>
      <c r="J12" s="37"/>
      <c r="K12" s="37"/>
      <c r="L12" s="37"/>
      <c r="M12" s="37"/>
      <c r="N12" s="37"/>
      <c r="O12" s="32"/>
      <c r="P12" s="32"/>
    </row>
    <row r="13" spans="1:30" ht="21" x14ac:dyDescent="0.25">
      <c r="A13" s="14"/>
      <c r="B13" s="12"/>
      <c r="C13" s="13"/>
      <c r="E13" s="39"/>
      <c r="F13" s="39"/>
      <c r="G13" s="39"/>
      <c r="H13" s="39"/>
      <c r="I13" s="39"/>
      <c r="J13" s="37"/>
      <c r="K13" s="37"/>
      <c r="L13" s="37"/>
      <c r="M13" s="37"/>
      <c r="N13" s="37"/>
      <c r="O13" s="32"/>
      <c r="P13" s="32"/>
    </row>
    <row r="14" spans="1:30" ht="21" x14ac:dyDescent="0.25">
      <c r="A14" s="14"/>
      <c r="B14" s="12"/>
      <c r="C14" s="13"/>
      <c r="E14" s="39"/>
      <c r="F14" s="39"/>
      <c r="G14" s="39"/>
      <c r="H14" s="39"/>
      <c r="I14" s="39"/>
      <c r="J14" s="37"/>
      <c r="K14" s="37"/>
      <c r="L14" s="37"/>
      <c r="M14" s="37"/>
      <c r="N14" s="37"/>
      <c r="O14" s="32"/>
      <c r="P14" s="32"/>
    </row>
    <row r="15" spans="1:30" ht="21" x14ac:dyDescent="0.25">
      <c r="A15" s="14"/>
      <c r="B15" s="12"/>
      <c r="C15" s="13"/>
      <c r="E15" s="39"/>
      <c r="F15" s="39"/>
      <c r="G15" s="39"/>
      <c r="H15" s="39"/>
      <c r="I15" s="39"/>
      <c r="J15" s="37"/>
      <c r="K15" s="37"/>
      <c r="L15" s="37"/>
      <c r="M15" s="37"/>
      <c r="N15" s="37"/>
      <c r="O15" s="32"/>
      <c r="P15" s="32"/>
    </row>
    <row r="16" spans="1:30" ht="21" x14ac:dyDescent="0.25">
      <c r="A16" s="14"/>
      <c r="B16" s="12"/>
      <c r="C16" s="13"/>
      <c r="E16" s="39"/>
      <c r="F16" s="39"/>
      <c r="G16" s="39"/>
      <c r="H16" s="39"/>
      <c r="I16" s="39"/>
      <c r="J16" s="37"/>
      <c r="K16" s="37"/>
      <c r="L16" s="37"/>
      <c r="M16" s="37"/>
      <c r="N16" s="37"/>
      <c r="O16" s="32"/>
      <c r="P16" s="32"/>
    </row>
    <row r="17" spans="1:16" ht="22" thickBot="1" x14ac:dyDescent="0.3">
      <c r="A17" s="15"/>
      <c r="B17" s="16"/>
      <c r="C17" s="17"/>
      <c r="E17" s="39"/>
      <c r="F17" s="39"/>
      <c r="G17" s="39"/>
      <c r="H17" s="39"/>
      <c r="I17" s="39"/>
      <c r="J17" s="37"/>
      <c r="K17" s="37"/>
      <c r="L17" s="37"/>
      <c r="M17" s="37"/>
      <c r="N17" s="37"/>
      <c r="O17" s="32"/>
      <c r="P17" s="32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D7F83-D8ED-AF4C-9B8B-2A998180946C}">
  <sheetPr codeName="Sheet14"/>
  <dimension ref="A1:AA150"/>
  <sheetViews>
    <sheetView zoomScale="79" zoomScaleNormal="79" workbookViewId="0">
      <selection activeCell="G22" sqref="G22"/>
    </sheetView>
  </sheetViews>
  <sheetFormatPr baseColWidth="10" defaultColWidth="11" defaultRowHeight="19" x14ac:dyDescent="0.25"/>
  <cols>
    <col min="1" max="1" width="9.33203125" style="19" bestFit="1" customWidth="1"/>
    <col min="2" max="2" width="8.33203125" style="19" bestFit="1" customWidth="1"/>
    <col min="3" max="3" width="11.1640625" style="19" bestFit="1" customWidth="1"/>
    <col min="4" max="4" width="10.5" style="19" bestFit="1" customWidth="1"/>
    <col min="5" max="6" width="7.6640625" style="19" bestFit="1" customWidth="1"/>
    <col min="7" max="7" width="6.1640625" style="19" customWidth="1"/>
    <col min="8" max="8" width="8.33203125" style="19" bestFit="1" customWidth="1"/>
    <col min="9" max="9" width="6.83203125" style="19" bestFit="1" customWidth="1"/>
    <col min="10" max="10" width="11.1640625" style="19" bestFit="1" customWidth="1"/>
    <col min="11" max="11" width="10.5" style="19" bestFit="1" customWidth="1"/>
    <col min="12" max="13" width="7.6640625" style="19" bestFit="1" customWidth="1"/>
    <col min="14" max="14" width="4.5" style="19" customWidth="1"/>
    <col min="15" max="15" width="8.33203125" style="19" bestFit="1" customWidth="1"/>
    <col min="16" max="16" width="6.83203125" style="19" bestFit="1" customWidth="1"/>
    <col min="17" max="17" width="11.1640625" style="19" bestFit="1" customWidth="1"/>
    <col min="18" max="18" width="10.5" style="19" bestFit="1" customWidth="1"/>
    <col min="19" max="20" width="7.6640625" style="19" bestFit="1" customWidth="1"/>
    <col min="21" max="21" width="5" style="19" customWidth="1"/>
    <col min="22" max="22" width="8.33203125" style="19" bestFit="1" customWidth="1"/>
    <col min="23" max="23" width="6.83203125" style="19" bestFit="1" customWidth="1"/>
    <col min="24" max="24" width="11.1640625" style="19" bestFit="1" customWidth="1"/>
    <col min="25" max="25" width="10.5" style="19" bestFit="1" customWidth="1"/>
    <col min="26" max="27" width="7.6640625" style="19" bestFit="1" customWidth="1"/>
    <col min="28" max="16384" width="11" style="19"/>
  </cols>
  <sheetData>
    <row r="1" spans="1:27" ht="22" x14ac:dyDescent="0.3">
      <c r="A1" s="18" t="s">
        <v>42</v>
      </c>
      <c r="B1" s="18" t="s">
        <v>43</v>
      </c>
      <c r="C1" s="18" t="s">
        <v>45</v>
      </c>
      <c r="D1" s="18" t="s">
        <v>37</v>
      </c>
      <c r="E1" s="18"/>
      <c r="G1" s="20" t="s">
        <v>41</v>
      </c>
      <c r="H1" s="20"/>
      <c r="K1" s="33" t="str" cm="1">
        <f t="array" aca="1" ref="K1" ca="1">_xlfn.TEXTAFTER(CELL("filename",A1),"]")</f>
        <v>QQQ</v>
      </c>
      <c r="O1" s="34" t="s">
        <v>42</v>
      </c>
      <c r="P1" s="34" t="s">
        <v>43</v>
      </c>
      <c r="Q1" s="34" t="s">
        <v>45</v>
      </c>
      <c r="R1" s="34" t="s">
        <v>37</v>
      </c>
      <c r="S1" s="34"/>
    </row>
    <row r="2" spans="1:27" x14ac:dyDescent="0.25">
      <c r="A2" s="18">
        <f ca="1">VLOOKUP($K$1,StockList!$B$1:$P$20,4,FALSE)</f>
        <v>305</v>
      </c>
      <c r="B2" s="18">
        <f ca="1">VLOOKUP($K$1,StockList!$B$1:$P$20,7,FALSE)</f>
        <v>308.89999999999998</v>
      </c>
      <c r="C2" s="18">
        <f ca="1">VLOOKUP($K$1,StockList!$B$1:$P$20,8,FALSE)</f>
        <v>306.5</v>
      </c>
      <c r="D2" s="18">
        <f ca="1">VLOOKUP($K$1,StockList!$B$1:$P$20,14,FALSE)</f>
        <v>0.2</v>
      </c>
      <c r="E2" s="18"/>
      <c r="G2" s="20"/>
      <c r="H2" s="20"/>
      <c r="O2" s="34">
        <f ca="1">VLOOKUP($K$1,StockList!$B$1:$P$20,9,FALSE)</f>
        <v>301</v>
      </c>
      <c r="P2" s="34">
        <f ca="1">VLOOKUP($K$1,StockList!$B$1:$P$20,12,FALSE)</f>
        <v>308.89999999999998</v>
      </c>
      <c r="Q2" s="34">
        <f ca="1">VLOOKUP($K$1,StockList!$B$1:$P$20,13,FALSE)</f>
        <v>306.5</v>
      </c>
      <c r="R2" s="34">
        <f ca="1">VLOOKUP($K$1,StockList!$B$1:$P$20,14,FALSE)</f>
        <v>0.2</v>
      </c>
      <c r="S2" s="34"/>
    </row>
    <row r="4" spans="1:27" x14ac:dyDescent="0.25">
      <c r="B4" s="23" t="s">
        <v>50</v>
      </c>
      <c r="C4" s="23" t="s">
        <v>22</v>
      </c>
      <c r="D4" s="23" t="s">
        <v>23</v>
      </c>
      <c r="E4" s="23" t="s">
        <v>51</v>
      </c>
      <c r="I4" s="20" t="s">
        <v>50</v>
      </c>
      <c r="J4" s="20" t="s">
        <v>22</v>
      </c>
      <c r="K4" s="20" t="s">
        <v>23</v>
      </c>
      <c r="L4" s="20" t="s">
        <v>51</v>
      </c>
      <c r="O4" s="35"/>
      <c r="P4" s="21" t="s">
        <v>50</v>
      </c>
      <c r="Q4" s="21" t="s">
        <v>22</v>
      </c>
      <c r="R4" s="21" t="s">
        <v>23</v>
      </c>
      <c r="S4" s="19" t="s">
        <v>51</v>
      </c>
      <c r="W4" s="22" t="s">
        <v>50</v>
      </c>
      <c r="X4" s="22" t="s">
        <v>22</v>
      </c>
      <c r="Y4" s="22" t="s">
        <v>23</v>
      </c>
      <c r="Z4" s="22" t="s">
        <v>51</v>
      </c>
    </row>
    <row r="5" spans="1:27" x14ac:dyDescent="0.25">
      <c r="A5" s="19" t="s">
        <v>57</v>
      </c>
      <c r="B5" s="23">
        <f ca="1">VLOOKUP($K$1,StockList!$B$1:$P$20,5,FALSE)</f>
        <v>309</v>
      </c>
      <c r="C5" s="23">
        <f>IF(G2=0,StockList!D2,QQQ!G2)</f>
        <v>0.75</v>
      </c>
      <c r="D5" s="23">
        <f ca="1">VLOOKUP($K$1,StockList!$B$1:$P$20,6,FALSE)</f>
        <v>28.93</v>
      </c>
      <c r="E5" s="23"/>
      <c r="H5" s="19" t="s">
        <v>57</v>
      </c>
      <c r="I5" s="20">
        <f ca="1">B5</f>
        <v>309</v>
      </c>
      <c r="J5" s="20">
        <f>C5+0.1</f>
        <v>0.85</v>
      </c>
      <c r="K5" s="20">
        <f ca="1">D5</f>
        <v>28.93</v>
      </c>
      <c r="L5" s="20"/>
      <c r="O5" s="35" t="s">
        <v>58</v>
      </c>
      <c r="P5" s="21">
        <f ca="1">VLOOKUP($K$1,StockList!$B$1:$P$20,10,FALSE)</f>
        <v>300</v>
      </c>
      <c r="Q5" s="21">
        <f>C5</f>
        <v>0.75</v>
      </c>
      <c r="R5" s="21">
        <f ca="1">VLOOKUP($K$1,StockList!$B$1:$P$20,11,FALSE)</f>
        <v>26.93</v>
      </c>
      <c r="V5" s="19" t="s">
        <v>58</v>
      </c>
      <c r="W5" s="22">
        <f ca="1">B5</f>
        <v>309</v>
      </c>
      <c r="X5" s="22">
        <f>C5+0.1</f>
        <v>0.85</v>
      </c>
      <c r="Y5" s="22">
        <f ca="1">D5</f>
        <v>28.93</v>
      </c>
      <c r="Z5" s="22"/>
    </row>
    <row r="8" spans="1:27" x14ac:dyDescent="0.25">
      <c r="A8" s="18" t="s">
        <v>47</v>
      </c>
      <c r="B8" s="18" t="s">
        <v>24</v>
      </c>
      <c r="C8" s="18" t="s">
        <v>25</v>
      </c>
      <c r="D8" s="18" t="s">
        <v>26</v>
      </c>
      <c r="E8" s="18" t="s">
        <v>48</v>
      </c>
      <c r="F8" s="18" t="s">
        <v>49</v>
      </c>
      <c r="H8" s="20" t="s">
        <v>47</v>
      </c>
      <c r="I8" s="20" t="s">
        <v>24</v>
      </c>
      <c r="J8" s="20" t="s">
        <v>25</v>
      </c>
      <c r="K8" s="20" t="s">
        <v>26</v>
      </c>
      <c r="L8" s="20" t="s">
        <v>48</v>
      </c>
      <c r="M8" s="20" t="s">
        <v>49</v>
      </c>
      <c r="O8" s="24" t="s">
        <v>47</v>
      </c>
      <c r="P8" s="24" t="s">
        <v>24</v>
      </c>
      <c r="Q8" s="24" t="s">
        <v>25</v>
      </c>
      <c r="R8" s="24" t="s">
        <v>26</v>
      </c>
      <c r="S8" s="24" t="s">
        <v>48</v>
      </c>
      <c r="T8" s="24" t="s">
        <v>49</v>
      </c>
      <c r="V8" s="22" t="s">
        <v>47</v>
      </c>
      <c r="W8" s="22" t="s">
        <v>24</v>
      </c>
      <c r="X8" s="22" t="s">
        <v>25</v>
      </c>
      <c r="Y8" s="22" t="s">
        <v>26</v>
      </c>
      <c r="Z8" s="22" t="s">
        <v>48</v>
      </c>
      <c r="AA8" s="22" t="s">
        <v>49</v>
      </c>
    </row>
    <row r="9" spans="1:27" x14ac:dyDescent="0.25">
      <c r="A9" s="27">
        <v>0</v>
      </c>
      <c r="B9" s="27">
        <v>305</v>
      </c>
      <c r="C9" s="27">
        <v>0.35</v>
      </c>
      <c r="D9" s="27">
        <v>4.3099999999999996</v>
      </c>
      <c r="E9" s="27">
        <v>0</v>
      </c>
      <c r="F9" s="27">
        <v>0</v>
      </c>
      <c r="H9" s="28">
        <v>0</v>
      </c>
      <c r="I9" s="28">
        <v>305</v>
      </c>
      <c r="J9" s="28">
        <v>0.41</v>
      </c>
      <c r="K9" s="28">
        <v>4.37</v>
      </c>
      <c r="L9" s="28">
        <v>0</v>
      </c>
      <c r="M9" s="28">
        <v>0</v>
      </c>
      <c r="O9" s="25">
        <v>0</v>
      </c>
      <c r="P9" s="25">
        <v>301</v>
      </c>
      <c r="Q9" s="25">
        <v>2.04</v>
      </c>
      <c r="R9" s="25">
        <v>1</v>
      </c>
      <c r="S9" s="25">
        <v>0</v>
      </c>
      <c r="T9" s="25">
        <v>0</v>
      </c>
      <c r="V9" s="26">
        <v>0</v>
      </c>
      <c r="W9" s="26">
        <v>301</v>
      </c>
      <c r="X9" s="26">
        <v>0.05</v>
      </c>
      <c r="Y9" s="26">
        <v>8.01</v>
      </c>
      <c r="Z9" s="26">
        <v>0</v>
      </c>
      <c r="AA9" s="26">
        <v>0</v>
      </c>
    </row>
    <row r="10" spans="1:27" x14ac:dyDescent="0.25">
      <c r="A10" s="27">
        <v>1.28</v>
      </c>
      <c r="B10" s="27">
        <v>308.89999999999998</v>
      </c>
      <c r="C10" s="27">
        <v>1.58</v>
      </c>
      <c r="D10" s="27">
        <v>1.65</v>
      </c>
      <c r="E10" s="27">
        <v>358.94</v>
      </c>
      <c r="F10" s="27">
        <v>-61.74</v>
      </c>
      <c r="H10" s="28">
        <v>1.28</v>
      </c>
      <c r="I10" s="28">
        <v>308.89999999999998</v>
      </c>
      <c r="J10" s="28">
        <v>1.69</v>
      </c>
      <c r="K10" s="28">
        <v>1.75</v>
      </c>
      <c r="L10" s="28">
        <v>310.62</v>
      </c>
      <c r="M10" s="28">
        <v>-59.95</v>
      </c>
      <c r="O10" s="25">
        <v>2.62</v>
      </c>
      <c r="P10" s="25">
        <v>308.89999999999998</v>
      </c>
      <c r="Q10" s="25">
        <v>8.94</v>
      </c>
      <c r="R10" s="25">
        <v>0.01</v>
      </c>
      <c r="S10" s="25">
        <v>338.85</v>
      </c>
      <c r="T10" s="25">
        <v>-99.01</v>
      </c>
      <c r="V10" s="26">
        <v>2.62</v>
      </c>
      <c r="W10" s="26">
        <v>308.89999999999998</v>
      </c>
      <c r="X10" s="26">
        <v>1.69</v>
      </c>
      <c r="Y10" s="26">
        <v>1.75</v>
      </c>
      <c r="Z10" s="26">
        <v>3221.72</v>
      </c>
      <c r="AA10" s="26">
        <v>-78.14</v>
      </c>
    </row>
    <row r="11" spans="1:27" x14ac:dyDescent="0.25">
      <c r="A11" s="27">
        <v>0.49</v>
      </c>
      <c r="B11" s="27">
        <v>306.5</v>
      </c>
      <c r="C11" s="27">
        <v>0.67</v>
      </c>
      <c r="D11" s="27">
        <v>3.13</v>
      </c>
      <c r="E11" s="27">
        <v>93.78</v>
      </c>
      <c r="F11" s="27">
        <v>-27.29</v>
      </c>
      <c r="H11" s="28">
        <v>0.49</v>
      </c>
      <c r="I11" s="28">
        <v>306.5</v>
      </c>
      <c r="J11" s="28">
        <v>0.76</v>
      </c>
      <c r="K11" s="28">
        <v>3.22</v>
      </c>
      <c r="L11" s="28">
        <v>83.95</v>
      </c>
      <c r="M11" s="28">
        <v>-26.4</v>
      </c>
      <c r="O11" s="25">
        <v>1.83</v>
      </c>
      <c r="P11" s="25">
        <v>306.5</v>
      </c>
      <c r="Q11" s="25">
        <v>6.59</v>
      </c>
      <c r="R11" s="25">
        <v>0.06</v>
      </c>
      <c r="S11" s="25">
        <v>223.42</v>
      </c>
      <c r="T11" s="25">
        <v>-94.26</v>
      </c>
      <c r="V11" s="26">
        <v>1.83</v>
      </c>
      <c r="W11" s="26">
        <v>306.5</v>
      </c>
      <c r="X11" s="26">
        <v>0.76</v>
      </c>
      <c r="Y11" s="26">
        <v>3.22</v>
      </c>
      <c r="Z11" s="26">
        <v>1388.05</v>
      </c>
      <c r="AA11" s="26">
        <v>-59.83</v>
      </c>
    </row>
    <row r="12" spans="1:27" x14ac:dyDescent="0.25">
      <c r="A12" s="18">
        <v>0.66</v>
      </c>
      <c r="B12" s="18">
        <v>307</v>
      </c>
      <c r="C12" s="18">
        <v>0.82</v>
      </c>
      <c r="D12" s="18">
        <v>2.78</v>
      </c>
      <c r="E12" s="18">
        <v>136.37</v>
      </c>
      <c r="F12" s="18">
        <v>-35.479999999999997</v>
      </c>
      <c r="H12" s="20">
        <v>0.66</v>
      </c>
      <c r="I12" s="20">
        <v>307</v>
      </c>
      <c r="J12" s="20">
        <v>0.91</v>
      </c>
      <c r="K12" s="20">
        <v>2.87</v>
      </c>
      <c r="L12" s="20">
        <v>121.12</v>
      </c>
      <c r="M12" s="20">
        <v>-34.340000000000003</v>
      </c>
      <c r="O12" s="24">
        <v>0.66</v>
      </c>
      <c r="P12" s="24">
        <v>303</v>
      </c>
      <c r="Q12" s="24">
        <v>3.46</v>
      </c>
      <c r="R12" s="24">
        <v>0.42</v>
      </c>
      <c r="S12" s="24">
        <v>69.650000000000006</v>
      </c>
      <c r="T12" s="24">
        <v>-57.8</v>
      </c>
      <c r="V12" s="22">
        <v>0.66</v>
      </c>
      <c r="W12" s="22">
        <v>303</v>
      </c>
      <c r="X12" s="22">
        <v>0.16</v>
      </c>
      <c r="Y12" s="22">
        <v>6.12</v>
      </c>
      <c r="Z12" s="22">
        <v>210.91</v>
      </c>
      <c r="AA12" s="22">
        <v>-23.62</v>
      </c>
    </row>
    <row r="13" spans="1:27" x14ac:dyDescent="0.25">
      <c r="A13" s="18">
        <v>0.59</v>
      </c>
      <c r="B13" s="18">
        <v>306.8</v>
      </c>
      <c r="C13" s="18">
        <v>0.75</v>
      </c>
      <c r="D13" s="18">
        <v>2.92</v>
      </c>
      <c r="E13" s="18">
        <v>118.58</v>
      </c>
      <c r="F13" s="18">
        <v>-32.270000000000003</v>
      </c>
      <c r="H13" s="20">
        <v>0.59</v>
      </c>
      <c r="I13" s="20">
        <v>306.8</v>
      </c>
      <c r="J13" s="20">
        <v>0.85</v>
      </c>
      <c r="K13" s="20">
        <v>3.01</v>
      </c>
      <c r="L13" s="20">
        <v>105.65</v>
      </c>
      <c r="M13" s="20">
        <v>-31.22</v>
      </c>
      <c r="O13" s="24">
        <v>0.6</v>
      </c>
      <c r="P13" s="24">
        <v>302.8</v>
      </c>
      <c r="Q13" s="24">
        <v>3.3</v>
      </c>
      <c r="R13" s="24">
        <v>0.47</v>
      </c>
      <c r="S13" s="24">
        <v>61.91</v>
      </c>
      <c r="T13" s="24">
        <v>-53.6</v>
      </c>
      <c r="V13" s="22">
        <v>0.6</v>
      </c>
      <c r="W13" s="22">
        <v>302.8</v>
      </c>
      <c r="X13" s="22">
        <v>0.14000000000000001</v>
      </c>
      <c r="Y13" s="22">
        <v>6.3</v>
      </c>
      <c r="Z13" s="22">
        <v>179.87</v>
      </c>
      <c r="AA13" s="22">
        <v>-21.33</v>
      </c>
    </row>
    <row r="14" spans="1:27" x14ac:dyDescent="0.25">
      <c r="A14" s="18">
        <v>0.52</v>
      </c>
      <c r="B14" s="18">
        <v>306.60000000000002</v>
      </c>
      <c r="C14" s="18">
        <v>0.7</v>
      </c>
      <c r="D14" s="18">
        <v>3.06</v>
      </c>
      <c r="E14" s="18">
        <v>101.8</v>
      </c>
      <c r="F14" s="18">
        <v>-28.97</v>
      </c>
      <c r="H14" s="20">
        <v>0.52</v>
      </c>
      <c r="I14" s="20">
        <v>306.60000000000002</v>
      </c>
      <c r="J14" s="20">
        <v>0.79</v>
      </c>
      <c r="K14" s="20">
        <v>3.15</v>
      </c>
      <c r="L14" s="20">
        <v>90.99</v>
      </c>
      <c r="M14" s="20">
        <v>-28.03</v>
      </c>
      <c r="O14" s="24">
        <v>0.53</v>
      </c>
      <c r="P14" s="24">
        <v>302.60000000000002</v>
      </c>
      <c r="Q14" s="24">
        <v>3.15</v>
      </c>
      <c r="R14" s="24">
        <v>0.51</v>
      </c>
      <c r="S14" s="24">
        <v>54.32</v>
      </c>
      <c r="T14" s="24">
        <v>-49.09</v>
      </c>
      <c r="V14" s="22">
        <v>0.53</v>
      </c>
      <c r="W14" s="22">
        <v>302.60000000000002</v>
      </c>
      <c r="X14" s="22">
        <v>0.13</v>
      </c>
      <c r="Y14" s="22">
        <v>6.49</v>
      </c>
      <c r="Z14" s="22">
        <v>151.47</v>
      </c>
      <c r="AA14" s="22">
        <v>-19.010000000000002</v>
      </c>
    </row>
    <row r="15" spans="1:27" x14ac:dyDescent="0.25">
      <c r="A15" s="18">
        <v>0.46</v>
      </c>
      <c r="B15" s="18">
        <v>306.39999999999998</v>
      </c>
      <c r="C15" s="18">
        <v>0.64</v>
      </c>
      <c r="D15" s="18">
        <v>3.21</v>
      </c>
      <c r="E15" s="18">
        <v>85.99</v>
      </c>
      <c r="F15" s="18">
        <v>-25.6</v>
      </c>
      <c r="H15" s="20">
        <v>0.46</v>
      </c>
      <c r="I15" s="20">
        <v>306.39999999999998</v>
      </c>
      <c r="J15" s="20">
        <v>0.73</v>
      </c>
      <c r="K15" s="20">
        <v>3.29</v>
      </c>
      <c r="L15" s="20">
        <v>77.099999999999994</v>
      </c>
      <c r="M15" s="20">
        <v>-24.76</v>
      </c>
      <c r="O15" s="24">
        <v>0.47</v>
      </c>
      <c r="P15" s="24">
        <v>302.39999999999998</v>
      </c>
      <c r="Q15" s="24">
        <v>2.99</v>
      </c>
      <c r="R15" s="24">
        <v>0.56000000000000005</v>
      </c>
      <c r="S15" s="24">
        <v>46.9</v>
      </c>
      <c r="T15" s="24">
        <v>-44.24</v>
      </c>
      <c r="V15" s="22">
        <v>0.47</v>
      </c>
      <c r="W15" s="22">
        <v>302.39999999999998</v>
      </c>
      <c r="X15" s="22">
        <v>0.11</v>
      </c>
      <c r="Y15" s="22">
        <v>6.68</v>
      </c>
      <c r="Z15" s="22">
        <v>125.55</v>
      </c>
      <c r="AA15" s="22">
        <v>-16.68</v>
      </c>
    </row>
    <row r="16" spans="1:27" x14ac:dyDescent="0.25">
      <c r="A16" s="18">
        <v>0.39</v>
      </c>
      <c r="B16" s="18">
        <v>306.2</v>
      </c>
      <c r="C16" s="18">
        <v>0.59</v>
      </c>
      <c r="D16" s="18">
        <v>3.36</v>
      </c>
      <c r="E16" s="18">
        <v>71.12</v>
      </c>
      <c r="F16" s="18">
        <v>-22.15</v>
      </c>
      <c r="H16" s="20">
        <v>0.39</v>
      </c>
      <c r="I16" s="20">
        <v>306.2</v>
      </c>
      <c r="J16" s="20">
        <v>0.68</v>
      </c>
      <c r="K16" s="20">
        <v>3.44</v>
      </c>
      <c r="L16" s="20">
        <v>63.98</v>
      </c>
      <c r="M16" s="20">
        <v>-21.42</v>
      </c>
      <c r="O16" s="24">
        <v>0.4</v>
      </c>
      <c r="P16" s="24">
        <v>302.2</v>
      </c>
      <c r="Q16" s="24">
        <v>2.85</v>
      </c>
      <c r="R16" s="24">
        <v>0.61</v>
      </c>
      <c r="S16" s="24">
        <v>39.64</v>
      </c>
      <c r="T16" s="24">
        <v>-39.04</v>
      </c>
      <c r="V16" s="22">
        <v>0.4</v>
      </c>
      <c r="W16" s="22">
        <v>302.2</v>
      </c>
      <c r="X16" s="22">
        <v>0.1</v>
      </c>
      <c r="Y16" s="22">
        <v>6.86</v>
      </c>
      <c r="Z16" s="22">
        <v>101.93</v>
      </c>
      <c r="AA16" s="22">
        <v>-14.33</v>
      </c>
    </row>
    <row r="17" spans="1:27" x14ac:dyDescent="0.25">
      <c r="A17" s="18">
        <v>0.33</v>
      </c>
      <c r="B17" s="18">
        <v>306</v>
      </c>
      <c r="C17" s="18">
        <v>0.54</v>
      </c>
      <c r="D17" s="18">
        <v>3.51</v>
      </c>
      <c r="E17" s="18">
        <v>57.17</v>
      </c>
      <c r="F17" s="18">
        <v>-18.62</v>
      </c>
      <c r="H17" s="20">
        <v>0.33</v>
      </c>
      <c r="I17" s="20">
        <v>306</v>
      </c>
      <c r="J17" s="20">
        <v>0.62</v>
      </c>
      <c r="K17" s="20">
        <v>3.58</v>
      </c>
      <c r="L17" s="20">
        <v>51.6</v>
      </c>
      <c r="M17" s="20">
        <v>-18.010000000000002</v>
      </c>
      <c r="O17" s="24">
        <v>0.33</v>
      </c>
      <c r="P17" s="24">
        <v>302</v>
      </c>
      <c r="Q17" s="24">
        <v>2.7</v>
      </c>
      <c r="R17" s="24">
        <v>0.67</v>
      </c>
      <c r="S17" s="24">
        <v>32.57</v>
      </c>
      <c r="T17" s="24">
        <v>-33.49</v>
      </c>
      <c r="V17" s="22">
        <v>0.33</v>
      </c>
      <c r="W17" s="22">
        <v>302</v>
      </c>
      <c r="X17" s="22">
        <v>0.09</v>
      </c>
      <c r="Y17" s="22">
        <v>7.05</v>
      </c>
      <c r="Z17" s="22">
        <v>80.45</v>
      </c>
      <c r="AA17" s="22">
        <v>-11.97</v>
      </c>
    </row>
    <row r="18" spans="1:27" x14ac:dyDescent="0.25">
      <c r="A18" s="18">
        <v>0.26</v>
      </c>
      <c r="B18" s="18">
        <v>305.8</v>
      </c>
      <c r="C18" s="18">
        <v>0.5</v>
      </c>
      <c r="D18" s="18">
        <v>3.66</v>
      </c>
      <c r="E18" s="18">
        <v>44.1</v>
      </c>
      <c r="F18" s="18">
        <v>-15.03</v>
      </c>
      <c r="H18" s="20">
        <v>0.26</v>
      </c>
      <c r="I18" s="20">
        <v>305.8</v>
      </c>
      <c r="J18" s="20">
        <v>0.57999999999999996</v>
      </c>
      <c r="K18" s="20">
        <v>3.74</v>
      </c>
      <c r="L18" s="20">
        <v>39.93</v>
      </c>
      <c r="M18" s="20">
        <v>-14.54</v>
      </c>
      <c r="O18" s="24">
        <v>0.27</v>
      </c>
      <c r="P18" s="24">
        <v>301.8</v>
      </c>
      <c r="Q18" s="24">
        <v>2.56</v>
      </c>
      <c r="R18" s="24">
        <v>0.73</v>
      </c>
      <c r="S18" s="24">
        <v>25.67</v>
      </c>
      <c r="T18" s="24">
        <v>-27.57</v>
      </c>
      <c r="V18" s="22">
        <v>0.27</v>
      </c>
      <c r="W18" s="22">
        <v>301.8</v>
      </c>
      <c r="X18" s="22">
        <v>0.08</v>
      </c>
      <c r="Y18" s="22">
        <v>7.24</v>
      </c>
      <c r="Z18" s="22">
        <v>60.96</v>
      </c>
      <c r="AA18" s="22">
        <v>-9.6</v>
      </c>
    </row>
    <row r="19" spans="1:27" x14ac:dyDescent="0.25">
      <c r="A19" s="18">
        <v>0.2</v>
      </c>
      <c r="B19" s="18">
        <v>305.60000000000002</v>
      </c>
      <c r="C19" s="18">
        <v>0.46</v>
      </c>
      <c r="D19" s="18">
        <v>3.82</v>
      </c>
      <c r="E19" s="18">
        <v>31.88</v>
      </c>
      <c r="F19" s="18">
        <v>-11.37</v>
      </c>
      <c r="H19" s="20">
        <v>0.2</v>
      </c>
      <c r="I19" s="20">
        <v>305.60000000000002</v>
      </c>
      <c r="J19" s="20">
        <v>0.53</v>
      </c>
      <c r="K19" s="20">
        <v>3.89</v>
      </c>
      <c r="L19" s="20">
        <v>28.97</v>
      </c>
      <c r="M19" s="20">
        <v>-11</v>
      </c>
      <c r="O19" s="24">
        <v>0.2</v>
      </c>
      <c r="P19" s="24">
        <v>301.60000000000002</v>
      </c>
      <c r="Q19" s="24">
        <v>2.42</v>
      </c>
      <c r="R19" s="24">
        <v>0.79</v>
      </c>
      <c r="S19" s="24">
        <v>18.96</v>
      </c>
      <c r="T19" s="24">
        <v>-21.27</v>
      </c>
      <c r="V19" s="22">
        <v>0.2</v>
      </c>
      <c r="W19" s="22">
        <v>301.60000000000002</v>
      </c>
      <c r="X19" s="22">
        <v>7.0000000000000007E-2</v>
      </c>
      <c r="Y19" s="22">
        <v>7.43</v>
      </c>
      <c r="Z19" s="22">
        <v>43.31</v>
      </c>
      <c r="AA19" s="22">
        <v>-7.21</v>
      </c>
    </row>
    <row r="20" spans="1:27" x14ac:dyDescent="0.25">
      <c r="A20" s="18">
        <v>0.13</v>
      </c>
      <c r="B20" s="18">
        <v>305.39999999999998</v>
      </c>
      <c r="C20" s="18">
        <v>0.42</v>
      </c>
      <c r="D20" s="18">
        <v>3.98</v>
      </c>
      <c r="E20" s="18">
        <v>20.48</v>
      </c>
      <c r="F20" s="18">
        <v>-7.64</v>
      </c>
      <c r="H20" s="20">
        <v>0.13</v>
      </c>
      <c r="I20" s="20">
        <v>305.39999999999998</v>
      </c>
      <c r="J20" s="20">
        <v>0.49</v>
      </c>
      <c r="K20" s="20">
        <v>4.05</v>
      </c>
      <c r="L20" s="20">
        <v>18.670000000000002</v>
      </c>
      <c r="M20" s="20">
        <v>-7.39</v>
      </c>
      <c r="O20" s="24">
        <v>0.13</v>
      </c>
      <c r="P20" s="24">
        <v>301.39999999999998</v>
      </c>
      <c r="Q20" s="24">
        <v>2.29</v>
      </c>
      <c r="R20" s="24">
        <v>0.86</v>
      </c>
      <c r="S20" s="24">
        <v>12.44</v>
      </c>
      <c r="T20" s="24">
        <v>-14.58</v>
      </c>
      <c r="V20" s="22">
        <v>0.13</v>
      </c>
      <c r="W20" s="22">
        <v>301.39999999999998</v>
      </c>
      <c r="X20" s="22">
        <v>0.06</v>
      </c>
      <c r="Y20" s="22">
        <v>7.63</v>
      </c>
      <c r="Z20" s="22">
        <v>27.35</v>
      </c>
      <c r="AA20" s="22">
        <v>-4.82</v>
      </c>
    </row>
    <row r="21" spans="1:27" x14ac:dyDescent="0.25">
      <c r="A21" s="18">
        <v>7.0000000000000007E-2</v>
      </c>
      <c r="B21" s="18">
        <v>305.2</v>
      </c>
      <c r="C21" s="18">
        <v>0.38</v>
      </c>
      <c r="D21" s="18">
        <v>4.1399999999999997</v>
      </c>
      <c r="E21" s="18">
        <v>9.86</v>
      </c>
      <c r="F21" s="18">
        <v>-3.85</v>
      </c>
      <c r="H21" s="20">
        <v>7.0000000000000007E-2</v>
      </c>
      <c r="I21" s="20">
        <v>305.2</v>
      </c>
      <c r="J21" s="20">
        <v>0.45</v>
      </c>
      <c r="K21" s="20">
        <v>4.21</v>
      </c>
      <c r="L21" s="20">
        <v>9.02</v>
      </c>
      <c r="M21" s="20">
        <v>-3.72</v>
      </c>
      <c r="O21" s="24">
        <v>7.0000000000000007E-2</v>
      </c>
      <c r="P21" s="24">
        <v>301.2</v>
      </c>
      <c r="Q21" s="24">
        <v>2.16</v>
      </c>
      <c r="R21" s="24">
        <v>0.93</v>
      </c>
      <c r="S21" s="24">
        <v>6.12</v>
      </c>
      <c r="T21" s="24">
        <v>-7.5</v>
      </c>
      <c r="V21" s="22">
        <v>7.0000000000000007E-2</v>
      </c>
      <c r="W21" s="22">
        <v>301.2</v>
      </c>
      <c r="X21" s="22">
        <v>0.06</v>
      </c>
      <c r="Y21" s="22">
        <v>7.82</v>
      </c>
      <c r="Z21" s="22">
        <v>12.96</v>
      </c>
      <c r="AA21" s="22">
        <v>-2.41</v>
      </c>
    </row>
    <row r="22" spans="1:27" x14ac:dyDescent="0.25">
      <c r="A22" s="18">
        <v>0</v>
      </c>
      <c r="B22" s="18">
        <v>305</v>
      </c>
      <c r="C22" s="18">
        <v>0.35</v>
      </c>
      <c r="D22" s="18">
        <v>4.3099999999999996</v>
      </c>
      <c r="E22" s="18">
        <v>0</v>
      </c>
      <c r="F22" s="18">
        <v>0</v>
      </c>
      <c r="H22" s="20">
        <v>0</v>
      </c>
      <c r="I22" s="20">
        <v>305</v>
      </c>
      <c r="J22" s="20">
        <v>0.41</v>
      </c>
      <c r="K22" s="20">
        <v>4.37</v>
      </c>
      <c r="L22" s="20">
        <v>0</v>
      </c>
      <c r="M22" s="20">
        <v>0</v>
      </c>
      <c r="O22" s="24">
        <v>0</v>
      </c>
      <c r="P22" s="24">
        <v>301</v>
      </c>
      <c r="Q22" s="24">
        <v>2.04</v>
      </c>
      <c r="R22" s="24">
        <v>1</v>
      </c>
      <c r="S22" s="24">
        <v>0</v>
      </c>
      <c r="T22" s="24">
        <v>0</v>
      </c>
      <c r="V22" s="22">
        <v>0</v>
      </c>
      <c r="W22" s="22">
        <v>301</v>
      </c>
      <c r="X22" s="22">
        <v>0.05</v>
      </c>
      <c r="Y22" s="22">
        <v>8.01</v>
      </c>
      <c r="Z22" s="22">
        <v>0</v>
      </c>
      <c r="AA22" s="22">
        <v>0</v>
      </c>
    </row>
    <row r="23" spans="1:27" x14ac:dyDescent="0.25">
      <c r="A23" s="18">
        <v>-7.0000000000000007E-2</v>
      </c>
      <c r="B23" s="18">
        <v>304.8</v>
      </c>
      <c r="C23" s="18">
        <v>0.31</v>
      </c>
      <c r="D23" s="18">
        <v>4.4800000000000004</v>
      </c>
      <c r="E23" s="18">
        <v>-9.15</v>
      </c>
      <c r="F23" s="18">
        <v>3.91</v>
      </c>
      <c r="H23" s="20">
        <v>-7.0000000000000007E-2</v>
      </c>
      <c r="I23" s="20">
        <v>304.8</v>
      </c>
      <c r="J23" s="20">
        <v>0.38</v>
      </c>
      <c r="K23" s="20">
        <v>4.54</v>
      </c>
      <c r="L23" s="20">
        <v>-8.43</v>
      </c>
      <c r="M23" s="20">
        <v>3.78</v>
      </c>
      <c r="O23" s="24">
        <v>-7.0000000000000007E-2</v>
      </c>
      <c r="P23" s="24">
        <v>300.8</v>
      </c>
      <c r="Q23" s="24">
        <v>1.92</v>
      </c>
      <c r="R23" s="24">
        <v>1.08</v>
      </c>
      <c r="S23" s="24">
        <v>-5.92</v>
      </c>
      <c r="T23" s="24">
        <v>7.91</v>
      </c>
      <c r="V23" s="22">
        <v>-7.0000000000000007E-2</v>
      </c>
      <c r="W23" s="22">
        <v>300.8</v>
      </c>
      <c r="X23" s="22">
        <v>0.04</v>
      </c>
      <c r="Y23" s="22">
        <v>8.2100000000000009</v>
      </c>
      <c r="Z23" s="22">
        <v>-11.64</v>
      </c>
      <c r="AA23" s="22">
        <v>2.42</v>
      </c>
    </row>
    <row r="24" spans="1:27" x14ac:dyDescent="0.25">
      <c r="A24" s="18">
        <v>-0.13</v>
      </c>
      <c r="B24" s="18">
        <v>304.60000000000002</v>
      </c>
      <c r="C24" s="18">
        <v>0.28000000000000003</v>
      </c>
      <c r="D24" s="18">
        <v>4.6500000000000004</v>
      </c>
      <c r="E24" s="18">
        <v>-17.61</v>
      </c>
      <c r="F24" s="18">
        <v>7.87</v>
      </c>
      <c r="H24" s="20">
        <v>-0.13</v>
      </c>
      <c r="I24" s="20">
        <v>304.60000000000002</v>
      </c>
      <c r="J24" s="20">
        <v>0.34</v>
      </c>
      <c r="K24" s="20">
        <v>4.71</v>
      </c>
      <c r="L24" s="20">
        <v>-16.28</v>
      </c>
      <c r="M24" s="20">
        <v>7.62</v>
      </c>
      <c r="O24" s="24">
        <v>-0.13</v>
      </c>
      <c r="P24" s="24">
        <v>300.60000000000002</v>
      </c>
      <c r="Q24" s="24">
        <v>1.8</v>
      </c>
      <c r="R24" s="24">
        <v>1.17</v>
      </c>
      <c r="S24" s="24">
        <v>-11.62</v>
      </c>
      <c r="T24" s="24">
        <v>16.239999999999998</v>
      </c>
      <c r="V24" s="22">
        <v>-0.13</v>
      </c>
      <c r="W24" s="22">
        <v>300.60000000000002</v>
      </c>
      <c r="X24" s="22">
        <v>0.04</v>
      </c>
      <c r="Y24" s="22">
        <v>8.4</v>
      </c>
      <c r="Z24" s="22">
        <v>-22.08</v>
      </c>
      <c r="AA24" s="22">
        <v>4.8499999999999996</v>
      </c>
    </row>
    <row r="25" spans="1:27" x14ac:dyDescent="0.25">
      <c r="A25" s="18">
        <v>-0.2</v>
      </c>
      <c r="B25" s="18">
        <v>304.39999999999998</v>
      </c>
      <c r="C25" s="18">
        <v>0.26</v>
      </c>
      <c r="D25" s="18">
        <v>4.82</v>
      </c>
      <c r="E25" s="18">
        <v>-25.43</v>
      </c>
      <c r="F25" s="18">
        <v>11.88</v>
      </c>
      <c r="H25" s="20">
        <v>-0.2</v>
      </c>
      <c r="I25" s="20">
        <v>304.39999999999998</v>
      </c>
      <c r="J25" s="20">
        <v>0.31</v>
      </c>
      <c r="K25" s="20">
        <v>4.88</v>
      </c>
      <c r="L25" s="20">
        <v>-23.59</v>
      </c>
      <c r="M25" s="20">
        <v>11.5</v>
      </c>
      <c r="O25" s="24">
        <v>-0.2</v>
      </c>
      <c r="P25" s="24">
        <v>300.39999999999998</v>
      </c>
      <c r="Q25" s="24">
        <v>1.69</v>
      </c>
      <c r="R25" s="24">
        <v>1.26</v>
      </c>
      <c r="S25" s="24">
        <v>-17.12</v>
      </c>
      <c r="T25" s="24">
        <v>25</v>
      </c>
      <c r="V25" s="22">
        <v>-0.2</v>
      </c>
      <c r="W25" s="22">
        <v>300.39999999999998</v>
      </c>
      <c r="X25" s="22">
        <v>0.03</v>
      </c>
      <c r="Y25" s="22">
        <v>8.6</v>
      </c>
      <c r="Z25" s="22">
        <v>-31.41</v>
      </c>
      <c r="AA25" s="22">
        <v>7.29</v>
      </c>
    </row>
    <row r="26" spans="1:27" x14ac:dyDescent="0.25">
      <c r="A26" s="18">
        <v>-0.26</v>
      </c>
      <c r="B26" s="18">
        <v>304.2</v>
      </c>
      <c r="C26" s="18">
        <v>0.23</v>
      </c>
      <c r="D26" s="18">
        <v>5</v>
      </c>
      <c r="E26" s="18">
        <v>-32.64</v>
      </c>
      <c r="F26" s="18">
        <v>15.95</v>
      </c>
      <c r="H26" s="20">
        <v>-0.26</v>
      </c>
      <c r="I26" s="20">
        <v>304.2</v>
      </c>
      <c r="J26" s="20">
        <v>0.28999999999999998</v>
      </c>
      <c r="K26" s="20">
        <v>5.05</v>
      </c>
      <c r="L26" s="20">
        <v>-30.38</v>
      </c>
      <c r="M26" s="20">
        <v>15.44</v>
      </c>
      <c r="O26" s="24">
        <v>-0.27</v>
      </c>
      <c r="P26" s="24">
        <v>300.2</v>
      </c>
      <c r="Q26" s="24">
        <v>1.58</v>
      </c>
      <c r="R26" s="24">
        <v>1.35</v>
      </c>
      <c r="S26" s="24">
        <v>-22.41</v>
      </c>
      <c r="T26" s="24">
        <v>34.19</v>
      </c>
      <c r="V26" s="22">
        <v>-0.27</v>
      </c>
      <c r="W26" s="22">
        <v>300.2</v>
      </c>
      <c r="X26" s="22">
        <v>0.03</v>
      </c>
      <c r="Y26" s="22">
        <v>8.7899999999999991</v>
      </c>
      <c r="Z26" s="22">
        <v>-39.75</v>
      </c>
      <c r="AA26" s="22">
        <v>9.73</v>
      </c>
    </row>
    <row r="27" spans="1:27" x14ac:dyDescent="0.25">
      <c r="A27" s="18">
        <v>-0.33</v>
      </c>
      <c r="B27" s="18">
        <v>304</v>
      </c>
      <c r="C27" s="18">
        <v>0.21</v>
      </c>
      <c r="D27" s="18">
        <v>5.17</v>
      </c>
      <c r="E27" s="18">
        <v>-39.270000000000003</v>
      </c>
      <c r="F27" s="18">
        <v>20.059999999999999</v>
      </c>
      <c r="H27" s="20">
        <v>-0.33</v>
      </c>
      <c r="I27" s="20">
        <v>304</v>
      </c>
      <c r="J27" s="20">
        <v>0.26</v>
      </c>
      <c r="K27" s="20">
        <v>5.22</v>
      </c>
      <c r="L27" s="20">
        <v>-36.67</v>
      </c>
      <c r="M27" s="20">
        <v>19.420000000000002</v>
      </c>
      <c r="O27" s="24">
        <v>-0.33</v>
      </c>
      <c r="P27" s="24">
        <v>300</v>
      </c>
      <c r="Q27" s="24">
        <v>1.48</v>
      </c>
      <c r="R27" s="24">
        <v>1.44</v>
      </c>
      <c r="S27" s="24">
        <v>-27.48</v>
      </c>
      <c r="T27" s="24">
        <v>43.81</v>
      </c>
      <c r="V27" s="22">
        <v>-0.33</v>
      </c>
      <c r="W27" s="22">
        <v>300</v>
      </c>
      <c r="X27" s="22">
        <v>0.03</v>
      </c>
      <c r="Y27" s="22">
        <v>8.99</v>
      </c>
      <c r="Z27" s="22">
        <v>-47.18</v>
      </c>
      <c r="AA27" s="22">
        <v>12.18</v>
      </c>
    </row>
    <row r="28" spans="1:27" x14ac:dyDescent="0.25">
      <c r="A28" s="18">
        <v>-0.39</v>
      </c>
      <c r="B28" s="18">
        <v>303.8</v>
      </c>
      <c r="C28" s="18">
        <v>0.19</v>
      </c>
      <c r="D28" s="18">
        <v>5.35</v>
      </c>
      <c r="E28" s="18">
        <v>-45.35</v>
      </c>
      <c r="F28" s="18">
        <v>24.21</v>
      </c>
      <c r="H28" s="20">
        <v>-0.39</v>
      </c>
      <c r="I28" s="20">
        <v>303.8</v>
      </c>
      <c r="J28" s="20">
        <v>0.24</v>
      </c>
      <c r="K28" s="20">
        <v>5.4</v>
      </c>
      <c r="L28" s="20">
        <v>-42.49</v>
      </c>
      <c r="M28" s="20">
        <v>23.45</v>
      </c>
      <c r="O28" s="24">
        <v>-0.4</v>
      </c>
      <c r="P28" s="24">
        <v>299.8</v>
      </c>
      <c r="Q28" s="24">
        <v>1.38</v>
      </c>
      <c r="R28" s="24">
        <v>1.54</v>
      </c>
      <c r="S28" s="24">
        <v>-32.340000000000003</v>
      </c>
      <c r="T28" s="24">
        <v>53.86</v>
      </c>
      <c r="V28" s="22">
        <v>-0.4</v>
      </c>
      <c r="W28" s="22">
        <v>299.8</v>
      </c>
      <c r="X28" s="22">
        <v>0.02</v>
      </c>
      <c r="Y28" s="22">
        <v>9.18</v>
      </c>
      <c r="Z28" s="22">
        <v>-53.78</v>
      </c>
      <c r="AA28" s="22">
        <v>14.64</v>
      </c>
    </row>
    <row r="29" spans="1:27" x14ac:dyDescent="0.25">
      <c r="A29" s="18">
        <v>-0.46</v>
      </c>
      <c r="B29" s="18">
        <v>303.60000000000002</v>
      </c>
      <c r="C29" s="18">
        <v>0.17</v>
      </c>
      <c r="D29" s="18">
        <v>5.53</v>
      </c>
      <c r="E29" s="18">
        <v>-50.92</v>
      </c>
      <c r="F29" s="18">
        <v>28.4</v>
      </c>
      <c r="H29" s="20">
        <v>-0.46</v>
      </c>
      <c r="I29" s="20">
        <v>303.60000000000002</v>
      </c>
      <c r="J29" s="20">
        <v>0.21</v>
      </c>
      <c r="K29" s="20">
        <v>5.58</v>
      </c>
      <c r="L29" s="20">
        <v>-47.86</v>
      </c>
      <c r="M29" s="20">
        <v>27.51</v>
      </c>
      <c r="O29" s="24">
        <v>-0.47</v>
      </c>
      <c r="P29" s="24">
        <v>299.60000000000002</v>
      </c>
      <c r="Q29" s="24">
        <v>1.28</v>
      </c>
      <c r="R29" s="24">
        <v>1.65</v>
      </c>
      <c r="S29" s="24">
        <v>-36.99</v>
      </c>
      <c r="T29" s="24">
        <v>64.349999999999994</v>
      </c>
      <c r="V29" s="22">
        <v>-0.47</v>
      </c>
      <c r="W29" s="22">
        <v>299.60000000000002</v>
      </c>
      <c r="X29" s="22">
        <v>0.02</v>
      </c>
      <c r="Y29" s="22">
        <v>9.3800000000000008</v>
      </c>
      <c r="Z29" s="22">
        <v>-59.64</v>
      </c>
      <c r="AA29" s="22">
        <v>17.100000000000001</v>
      </c>
    </row>
    <row r="30" spans="1:27" x14ac:dyDescent="0.25">
      <c r="A30" s="18">
        <v>-0.52</v>
      </c>
      <c r="B30" s="18">
        <v>303.39999999999998</v>
      </c>
      <c r="C30" s="18">
        <v>0.15</v>
      </c>
      <c r="D30" s="18">
        <v>5.72</v>
      </c>
      <c r="E30" s="18">
        <v>-56.01</v>
      </c>
      <c r="F30" s="18">
        <v>32.64</v>
      </c>
      <c r="H30" s="20">
        <v>-0.52</v>
      </c>
      <c r="I30" s="20">
        <v>303.39999999999998</v>
      </c>
      <c r="J30" s="20">
        <v>0.19</v>
      </c>
      <c r="K30" s="20">
        <v>5.75</v>
      </c>
      <c r="L30" s="20">
        <v>-52.82</v>
      </c>
      <c r="M30" s="20">
        <v>31.62</v>
      </c>
      <c r="O30" s="24">
        <v>-0.53</v>
      </c>
      <c r="P30" s="24">
        <v>299.39999999999998</v>
      </c>
      <c r="Q30" s="24">
        <v>1.19</v>
      </c>
      <c r="R30" s="24">
        <v>1.76</v>
      </c>
      <c r="S30" s="24">
        <v>-41.42</v>
      </c>
      <c r="T30" s="24">
        <v>75.27</v>
      </c>
      <c r="V30" s="22">
        <v>-0.53</v>
      </c>
      <c r="W30" s="22">
        <v>299.39999999999998</v>
      </c>
      <c r="X30" s="22">
        <v>0.02</v>
      </c>
      <c r="Y30" s="22">
        <v>9.58</v>
      </c>
      <c r="Z30" s="22">
        <v>-64.819999999999993</v>
      </c>
      <c r="AA30" s="22">
        <v>19.559999999999999</v>
      </c>
    </row>
    <row r="31" spans="1:27" x14ac:dyDescent="0.25">
      <c r="A31" s="18">
        <v>-0.59</v>
      </c>
      <c r="B31" s="18">
        <v>303.2</v>
      </c>
      <c r="C31" s="18">
        <v>0.14000000000000001</v>
      </c>
      <c r="D31" s="18">
        <v>5.9</v>
      </c>
      <c r="E31" s="18">
        <v>-60.65</v>
      </c>
      <c r="F31" s="18">
        <v>36.9</v>
      </c>
      <c r="H31" s="20">
        <v>-0.59</v>
      </c>
      <c r="I31" s="20">
        <v>303.2</v>
      </c>
      <c r="J31" s="20">
        <v>0.18</v>
      </c>
      <c r="K31" s="20">
        <v>5.94</v>
      </c>
      <c r="L31" s="20">
        <v>-57.38</v>
      </c>
      <c r="M31" s="20">
        <v>35.770000000000003</v>
      </c>
      <c r="O31" s="24">
        <v>-0.6</v>
      </c>
      <c r="P31" s="24">
        <v>299.2</v>
      </c>
      <c r="Q31" s="24">
        <v>1.1100000000000001</v>
      </c>
      <c r="R31" s="24">
        <v>1.87</v>
      </c>
      <c r="S31" s="24">
        <v>-45.64</v>
      </c>
      <c r="T31" s="24">
        <v>86.62</v>
      </c>
      <c r="V31" s="22">
        <v>-0.6</v>
      </c>
      <c r="W31" s="22">
        <v>299.2</v>
      </c>
      <c r="X31" s="22">
        <v>0.02</v>
      </c>
      <c r="Y31" s="22">
        <v>9.7799999999999994</v>
      </c>
      <c r="Z31" s="22">
        <v>-69.400000000000006</v>
      </c>
      <c r="AA31" s="22">
        <v>22.03</v>
      </c>
    </row>
    <row r="32" spans="1:27" x14ac:dyDescent="0.25">
      <c r="A32" s="18">
        <v>-0.66</v>
      </c>
      <c r="B32" s="18">
        <v>303</v>
      </c>
      <c r="C32" s="18">
        <v>0.12</v>
      </c>
      <c r="D32" s="18">
        <v>6.09</v>
      </c>
      <c r="E32" s="18">
        <v>-64.88</v>
      </c>
      <c r="F32" s="18">
        <v>41.21</v>
      </c>
      <c r="H32" s="20">
        <v>-0.66</v>
      </c>
      <c r="I32" s="20">
        <v>303</v>
      </c>
      <c r="J32" s="20">
        <v>0.16</v>
      </c>
      <c r="K32" s="20">
        <v>6.12</v>
      </c>
      <c r="L32" s="20">
        <v>-61.57</v>
      </c>
      <c r="M32" s="20">
        <v>39.950000000000003</v>
      </c>
      <c r="O32" s="24">
        <v>-0.66</v>
      </c>
      <c r="P32" s="24">
        <v>299</v>
      </c>
      <c r="Q32" s="24">
        <v>1.03</v>
      </c>
      <c r="R32" s="24">
        <v>1.99</v>
      </c>
      <c r="S32" s="24">
        <v>-49.65</v>
      </c>
      <c r="T32" s="24">
        <v>98.39</v>
      </c>
      <c r="V32" s="22">
        <v>-0.66</v>
      </c>
      <c r="W32" s="22">
        <v>299</v>
      </c>
      <c r="X32" s="22">
        <v>0.01</v>
      </c>
      <c r="Y32" s="22">
        <v>9.9700000000000006</v>
      </c>
      <c r="Z32" s="22">
        <v>-73.44</v>
      </c>
      <c r="AA32" s="22">
        <v>24.5</v>
      </c>
    </row>
    <row r="33" spans="1:27" x14ac:dyDescent="0.25">
      <c r="A33" s="18">
        <v>-0.72</v>
      </c>
      <c r="B33" s="18">
        <v>302.8</v>
      </c>
      <c r="C33" s="18">
        <v>0.11</v>
      </c>
      <c r="D33" s="18">
        <v>6.27</v>
      </c>
      <c r="E33" s="18">
        <v>-68.709999999999994</v>
      </c>
      <c r="F33" s="18">
        <v>45.54</v>
      </c>
      <c r="H33" s="20">
        <v>-0.72</v>
      </c>
      <c r="I33" s="20">
        <v>302.8</v>
      </c>
      <c r="J33" s="20">
        <v>0.14000000000000001</v>
      </c>
      <c r="K33" s="20">
        <v>6.3</v>
      </c>
      <c r="L33" s="20">
        <v>-65.400000000000006</v>
      </c>
      <c r="M33" s="20">
        <v>44.16</v>
      </c>
      <c r="O33" s="24">
        <v>-0.73</v>
      </c>
      <c r="P33" s="24">
        <v>298.8</v>
      </c>
      <c r="Q33" s="24">
        <v>0.95</v>
      </c>
      <c r="R33" s="24">
        <v>2.11</v>
      </c>
      <c r="S33" s="24">
        <v>-53.46</v>
      </c>
      <c r="T33" s="24">
        <v>110.59</v>
      </c>
      <c r="V33" s="22">
        <v>-0.73</v>
      </c>
      <c r="W33" s="22">
        <v>298.8</v>
      </c>
      <c r="X33" s="22">
        <v>0.01</v>
      </c>
      <c r="Y33" s="22">
        <v>10.17</v>
      </c>
      <c r="Z33" s="22">
        <v>-77</v>
      </c>
      <c r="AA33" s="22">
        <v>26.97</v>
      </c>
    </row>
    <row r="34" spans="1:27" x14ac:dyDescent="0.25">
      <c r="A34" s="18">
        <v>-0.79</v>
      </c>
      <c r="B34" s="18">
        <v>302.60000000000002</v>
      </c>
      <c r="C34" s="18">
        <v>0.1</v>
      </c>
      <c r="D34" s="18">
        <v>6.46</v>
      </c>
      <c r="E34" s="18">
        <v>-72.180000000000007</v>
      </c>
      <c r="F34" s="18">
        <v>49.9</v>
      </c>
      <c r="H34" s="20">
        <v>-0.79</v>
      </c>
      <c r="I34" s="20">
        <v>302.60000000000002</v>
      </c>
      <c r="J34" s="20">
        <v>0.13</v>
      </c>
      <c r="K34" s="20">
        <v>6.49</v>
      </c>
      <c r="L34" s="20">
        <v>-68.91</v>
      </c>
      <c r="M34" s="20">
        <v>48.4</v>
      </c>
      <c r="O34" s="24">
        <v>-0.8</v>
      </c>
      <c r="P34" s="24">
        <v>298.60000000000002</v>
      </c>
      <c r="Q34" s="24">
        <v>0.88</v>
      </c>
      <c r="R34" s="24">
        <v>2.2400000000000002</v>
      </c>
      <c r="S34" s="24">
        <v>-57.06</v>
      </c>
      <c r="T34" s="24">
        <v>123.2</v>
      </c>
      <c r="V34" s="22">
        <v>-0.8</v>
      </c>
      <c r="W34" s="22">
        <v>298.60000000000002</v>
      </c>
      <c r="X34" s="22">
        <v>0.01</v>
      </c>
      <c r="Y34" s="22">
        <v>10.37</v>
      </c>
      <c r="Z34" s="22">
        <v>-80.11</v>
      </c>
      <c r="AA34" s="22">
        <v>29.45</v>
      </c>
    </row>
    <row r="51" spans="1:2" x14ac:dyDescent="0.25">
      <c r="A51" s="29"/>
    </row>
    <row r="52" spans="1:2" x14ac:dyDescent="0.25">
      <c r="A52" s="29"/>
    </row>
    <row r="53" spans="1:2" x14ac:dyDescent="0.25">
      <c r="A53" s="29"/>
    </row>
    <row r="54" spans="1:2" x14ac:dyDescent="0.25">
      <c r="A54" s="29"/>
    </row>
    <row r="55" spans="1:2" x14ac:dyDescent="0.25">
      <c r="A55" s="29"/>
      <c r="B55" s="30"/>
    </row>
    <row r="56" spans="1:2" x14ac:dyDescent="0.25">
      <c r="A56" s="29"/>
      <c r="B56" s="30"/>
    </row>
    <row r="57" spans="1:2" x14ac:dyDescent="0.25">
      <c r="A57" s="29"/>
    </row>
    <row r="58" spans="1:2" x14ac:dyDescent="0.25">
      <c r="A58" s="29"/>
      <c r="B58" s="30"/>
    </row>
    <row r="59" spans="1:2" x14ac:dyDescent="0.25">
      <c r="A59" s="29"/>
    </row>
    <row r="60" spans="1:2" x14ac:dyDescent="0.25">
      <c r="A60" s="29"/>
    </row>
    <row r="61" spans="1:2" x14ac:dyDescent="0.25">
      <c r="A61" s="29"/>
      <c r="B61" s="30"/>
    </row>
    <row r="62" spans="1:2" x14ac:dyDescent="0.25">
      <c r="A62" s="29"/>
    </row>
    <row r="63" spans="1:2" x14ac:dyDescent="0.25">
      <c r="A63" s="29"/>
    </row>
    <row r="64" spans="1:2" x14ac:dyDescent="0.25">
      <c r="A64" s="29"/>
      <c r="B64" s="30"/>
    </row>
    <row r="65" spans="1:2" x14ac:dyDescent="0.25">
      <c r="A65" s="29"/>
    </row>
    <row r="66" spans="1:2" x14ac:dyDescent="0.25">
      <c r="A66" s="29"/>
      <c r="B66" s="30"/>
    </row>
    <row r="67" spans="1:2" x14ac:dyDescent="0.25">
      <c r="A67" s="29"/>
    </row>
    <row r="68" spans="1:2" x14ac:dyDescent="0.25">
      <c r="A68" s="29"/>
      <c r="B68" s="30"/>
    </row>
    <row r="69" spans="1:2" x14ac:dyDescent="0.25">
      <c r="A69" s="29"/>
      <c r="B69" s="30"/>
    </row>
    <row r="70" spans="1:2" x14ac:dyDescent="0.25">
      <c r="A70" s="29"/>
      <c r="B70" s="30"/>
    </row>
    <row r="71" spans="1:2" x14ac:dyDescent="0.25">
      <c r="A71" s="29"/>
      <c r="B71" s="30"/>
    </row>
    <row r="72" spans="1:2" x14ac:dyDescent="0.25">
      <c r="A72" s="29"/>
    </row>
    <row r="73" spans="1:2" x14ac:dyDescent="0.25">
      <c r="A73" s="29"/>
    </row>
    <row r="74" spans="1:2" x14ac:dyDescent="0.25">
      <c r="A74" s="29"/>
      <c r="B74" s="30"/>
    </row>
    <row r="75" spans="1:2" x14ac:dyDescent="0.25">
      <c r="A75" s="29"/>
    </row>
    <row r="76" spans="1:2" x14ac:dyDescent="0.25">
      <c r="A76" s="29"/>
    </row>
    <row r="77" spans="1:2" x14ac:dyDescent="0.25">
      <c r="A77" s="29"/>
      <c r="B77" s="30"/>
    </row>
    <row r="78" spans="1:2" x14ac:dyDescent="0.25">
      <c r="A78" s="29"/>
    </row>
    <row r="79" spans="1:2" x14ac:dyDescent="0.25">
      <c r="A79" s="29"/>
    </row>
    <row r="80" spans="1:2" x14ac:dyDescent="0.25">
      <c r="A80" s="29"/>
    </row>
    <row r="81" spans="1:2" x14ac:dyDescent="0.25">
      <c r="A81" s="29"/>
    </row>
    <row r="82" spans="1:2" x14ac:dyDescent="0.25">
      <c r="A82" s="29"/>
    </row>
    <row r="83" spans="1:2" x14ac:dyDescent="0.25">
      <c r="A83" s="29"/>
      <c r="B83" s="30"/>
    </row>
    <row r="84" spans="1:2" x14ac:dyDescent="0.25">
      <c r="A84" s="29"/>
      <c r="B84" s="30"/>
    </row>
    <row r="85" spans="1:2" x14ac:dyDescent="0.25">
      <c r="A85" s="29"/>
    </row>
    <row r="86" spans="1:2" x14ac:dyDescent="0.25">
      <c r="A86" s="29"/>
      <c r="B86" s="30"/>
    </row>
    <row r="87" spans="1:2" x14ac:dyDescent="0.25">
      <c r="A87" s="29"/>
    </row>
    <row r="88" spans="1:2" x14ac:dyDescent="0.25">
      <c r="A88" s="29"/>
    </row>
    <row r="89" spans="1:2" x14ac:dyDescent="0.25">
      <c r="A89" s="29"/>
    </row>
    <row r="90" spans="1:2" x14ac:dyDescent="0.25">
      <c r="A90" s="29"/>
    </row>
    <row r="91" spans="1:2" x14ac:dyDescent="0.25">
      <c r="A91" s="29"/>
    </row>
    <row r="92" spans="1:2" x14ac:dyDescent="0.25">
      <c r="A92" s="29"/>
    </row>
    <row r="93" spans="1:2" x14ac:dyDescent="0.25">
      <c r="A93" s="29"/>
      <c r="B93" s="30"/>
    </row>
    <row r="94" spans="1:2" x14ac:dyDescent="0.25">
      <c r="A94" s="29"/>
      <c r="B94" s="30"/>
    </row>
    <row r="95" spans="1:2" x14ac:dyDescent="0.25">
      <c r="A95" s="29"/>
      <c r="B95" s="30"/>
    </row>
    <row r="96" spans="1:2" x14ac:dyDescent="0.25">
      <c r="A96" s="29"/>
    </row>
    <row r="97" spans="1:2" x14ac:dyDescent="0.25">
      <c r="A97" s="29"/>
    </row>
    <row r="98" spans="1:2" x14ac:dyDescent="0.25">
      <c r="A98" s="29"/>
    </row>
    <row r="99" spans="1:2" x14ac:dyDescent="0.25">
      <c r="A99" s="29"/>
      <c r="B99" s="30"/>
    </row>
    <row r="100" spans="1:2" x14ac:dyDescent="0.25">
      <c r="A100" s="29"/>
    </row>
    <row r="101" spans="1:2" x14ac:dyDescent="0.25">
      <c r="A101" s="29"/>
    </row>
    <row r="102" spans="1:2" x14ac:dyDescent="0.25">
      <c r="A102" s="29"/>
      <c r="B102" s="30"/>
    </row>
    <row r="103" spans="1:2" x14ac:dyDescent="0.25">
      <c r="A103" s="29"/>
      <c r="B103" s="30"/>
    </row>
    <row r="104" spans="1:2" x14ac:dyDescent="0.25">
      <c r="A104" s="29"/>
      <c r="B104" s="30"/>
    </row>
    <row r="105" spans="1:2" x14ac:dyDescent="0.25">
      <c r="A105" s="29"/>
    </row>
    <row r="106" spans="1:2" x14ac:dyDescent="0.25">
      <c r="A106" s="29"/>
    </row>
    <row r="107" spans="1:2" x14ac:dyDescent="0.25">
      <c r="A107" s="29"/>
      <c r="B107" s="30"/>
    </row>
    <row r="108" spans="1:2" x14ac:dyDescent="0.25">
      <c r="A108" s="29"/>
      <c r="B108" s="30"/>
    </row>
    <row r="109" spans="1:2" x14ac:dyDescent="0.25">
      <c r="A109" s="29"/>
      <c r="B109" s="30"/>
    </row>
    <row r="110" spans="1:2" x14ac:dyDescent="0.25">
      <c r="A110" s="29"/>
    </row>
    <row r="111" spans="1:2" x14ac:dyDescent="0.25">
      <c r="A111" s="29"/>
    </row>
    <row r="112" spans="1:2" x14ac:dyDescent="0.25">
      <c r="A112" s="29"/>
    </row>
    <row r="113" spans="1:2" x14ac:dyDescent="0.25">
      <c r="A113" s="29"/>
    </row>
    <row r="114" spans="1:2" x14ac:dyDescent="0.25">
      <c r="A114" s="29"/>
    </row>
    <row r="115" spans="1:2" x14ac:dyDescent="0.25">
      <c r="A115" s="29"/>
    </row>
    <row r="116" spans="1:2" x14ac:dyDescent="0.25">
      <c r="A116" s="29"/>
    </row>
    <row r="117" spans="1:2" x14ac:dyDescent="0.25">
      <c r="A117" s="29"/>
    </row>
    <row r="118" spans="1:2" x14ac:dyDescent="0.25">
      <c r="A118" s="29"/>
    </row>
    <row r="119" spans="1:2" x14ac:dyDescent="0.25">
      <c r="A119" s="29"/>
      <c r="B119" s="30"/>
    </row>
    <row r="120" spans="1:2" x14ac:dyDescent="0.25">
      <c r="A120" s="29"/>
      <c r="B120" s="30"/>
    </row>
    <row r="121" spans="1:2" x14ac:dyDescent="0.25">
      <c r="A121" s="29"/>
      <c r="B121" s="30"/>
    </row>
    <row r="122" spans="1:2" x14ac:dyDescent="0.25">
      <c r="A122" s="29"/>
    </row>
    <row r="123" spans="1:2" x14ac:dyDescent="0.25">
      <c r="A123" s="29"/>
    </row>
    <row r="124" spans="1:2" x14ac:dyDescent="0.25">
      <c r="A124" s="29"/>
    </row>
    <row r="125" spans="1:2" x14ac:dyDescent="0.25">
      <c r="A125" s="29"/>
    </row>
    <row r="126" spans="1:2" x14ac:dyDescent="0.25">
      <c r="A126" s="29"/>
    </row>
    <row r="127" spans="1:2" x14ac:dyDescent="0.25">
      <c r="A127" s="29"/>
    </row>
    <row r="128" spans="1:2" x14ac:dyDescent="0.25">
      <c r="A128" s="29"/>
    </row>
    <row r="129" spans="1:1" x14ac:dyDescent="0.25">
      <c r="A129" s="29"/>
    </row>
    <row r="130" spans="1:1" x14ac:dyDescent="0.25">
      <c r="A130" s="29"/>
    </row>
    <row r="131" spans="1:1" x14ac:dyDescent="0.25">
      <c r="A131" s="29"/>
    </row>
    <row r="132" spans="1:1" x14ac:dyDescent="0.25">
      <c r="A132" s="29"/>
    </row>
    <row r="133" spans="1:1" x14ac:dyDescent="0.25">
      <c r="A133" s="29"/>
    </row>
    <row r="134" spans="1:1" x14ac:dyDescent="0.25">
      <c r="A134" s="29"/>
    </row>
    <row r="135" spans="1:1" x14ac:dyDescent="0.25">
      <c r="A135" s="29"/>
    </row>
    <row r="136" spans="1:1" x14ac:dyDescent="0.25">
      <c r="A136" s="29"/>
    </row>
    <row r="137" spans="1:1" x14ac:dyDescent="0.25">
      <c r="A137" s="29"/>
    </row>
    <row r="138" spans="1:1" x14ac:dyDescent="0.25">
      <c r="A138" s="29"/>
    </row>
    <row r="139" spans="1:1" x14ac:dyDescent="0.25">
      <c r="A139" s="29"/>
    </row>
    <row r="140" spans="1:1" x14ac:dyDescent="0.25">
      <c r="A140" s="29"/>
    </row>
    <row r="141" spans="1:1" x14ac:dyDescent="0.25">
      <c r="A141" s="29"/>
    </row>
    <row r="142" spans="1:1" x14ac:dyDescent="0.25">
      <c r="A142" s="29"/>
    </row>
    <row r="143" spans="1:1" x14ac:dyDescent="0.25">
      <c r="A143" s="29"/>
    </row>
    <row r="144" spans="1:1" x14ac:dyDescent="0.25">
      <c r="A144" s="29"/>
    </row>
    <row r="145" spans="1:1" x14ac:dyDescent="0.25">
      <c r="A145" s="29"/>
    </row>
    <row r="146" spans="1:1" x14ac:dyDescent="0.25">
      <c r="A146" s="29"/>
    </row>
    <row r="147" spans="1:1" x14ac:dyDescent="0.25">
      <c r="A147" s="29"/>
    </row>
    <row r="148" spans="1:1" x14ac:dyDescent="0.25">
      <c r="A148" s="29"/>
    </row>
    <row r="149" spans="1:1" x14ac:dyDescent="0.25">
      <c r="A149" s="29"/>
    </row>
    <row r="150" spans="1:1" x14ac:dyDescent="0.25">
      <c r="A150" s="2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54C49-C16B-1B4C-9AB4-E74FC7989FF7}">
  <sheetPr codeName="Sheet15"/>
  <dimension ref="A1:AA150"/>
  <sheetViews>
    <sheetView zoomScale="79" zoomScaleNormal="79" workbookViewId="0">
      <selection activeCell="O6" sqref="O6"/>
    </sheetView>
  </sheetViews>
  <sheetFormatPr baseColWidth="10" defaultColWidth="11" defaultRowHeight="19" x14ac:dyDescent="0.25"/>
  <cols>
    <col min="1" max="1" width="9.33203125" style="19" bestFit="1" customWidth="1"/>
    <col min="2" max="2" width="8.33203125" style="19" bestFit="1" customWidth="1"/>
    <col min="3" max="3" width="11.1640625" style="19" bestFit="1" customWidth="1"/>
    <col min="4" max="4" width="10.5" style="19" bestFit="1" customWidth="1"/>
    <col min="5" max="6" width="7.6640625" style="19" bestFit="1" customWidth="1"/>
    <col min="7" max="7" width="6.1640625" style="19" customWidth="1"/>
    <col min="8" max="8" width="8.33203125" style="19" bestFit="1" customWidth="1"/>
    <col min="9" max="9" width="6.83203125" style="19" bestFit="1" customWidth="1"/>
    <col min="10" max="10" width="11.1640625" style="19" bestFit="1" customWidth="1"/>
    <col min="11" max="11" width="10.5" style="19" bestFit="1" customWidth="1"/>
    <col min="12" max="13" width="7.6640625" style="19" bestFit="1" customWidth="1"/>
    <col min="14" max="14" width="4.5" style="19" customWidth="1"/>
    <col min="15" max="15" width="8.33203125" style="19" bestFit="1" customWidth="1"/>
    <col min="16" max="16" width="6.83203125" style="19" bestFit="1" customWidth="1"/>
    <col min="17" max="17" width="11.1640625" style="19" bestFit="1" customWidth="1"/>
    <col min="18" max="18" width="10.5" style="19" bestFit="1" customWidth="1"/>
    <col min="19" max="20" width="7.6640625" style="19" bestFit="1" customWidth="1"/>
    <col min="21" max="21" width="5" style="19" customWidth="1"/>
    <col min="22" max="22" width="8.33203125" style="19" bestFit="1" customWidth="1"/>
    <col min="23" max="23" width="6.83203125" style="19" bestFit="1" customWidth="1"/>
    <col min="24" max="24" width="11.1640625" style="19" bestFit="1" customWidth="1"/>
    <col min="25" max="25" width="10.5" style="19" bestFit="1" customWidth="1"/>
    <col min="26" max="27" width="7.6640625" style="19" bestFit="1" customWidth="1"/>
    <col min="28" max="16384" width="11" style="19"/>
  </cols>
  <sheetData>
    <row r="1" spans="1:27" ht="22" x14ac:dyDescent="0.3">
      <c r="A1" s="18" t="s">
        <v>42</v>
      </c>
      <c r="B1" s="18" t="s">
        <v>43</v>
      </c>
      <c r="C1" s="18" t="s">
        <v>45</v>
      </c>
      <c r="D1" s="18" t="s">
        <v>37</v>
      </c>
      <c r="E1" s="18"/>
      <c r="G1" s="20" t="s">
        <v>41</v>
      </c>
      <c r="H1" s="20"/>
      <c r="K1" s="33" t="str" cm="1">
        <f t="array" aca="1" ref="K1" ca="1">_xlfn.TEXTAFTER(CELL("filename",A1),"]")</f>
        <v>TSLA</v>
      </c>
      <c r="O1" s="34" t="s">
        <v>42</v>
      </c>
      <c r="P1" s="34" t="s">
        <v>43</v>
      </c>
      <c r="Q1" s="34" t="s">
        <v>45</v>
      </c>
      <c r="R1" s="34" t="s">
        <v>37</v>
      </c>
      <c r="S1" s="34"/>
    </row>
    <row r="2" spans="1:27" x14ac:dyDescent="0.25">
      <c r="A2" s="18">
        <f ca="1">VLOOKUP($K$1,StockList!$B$1:$P$20,4,FALSE)</f>
        <v>207</v>
      </c>
      <c r="B2" s="18">
        <f ca="1">VLOOKUP($K$1,StockList!$B$1:$P$20,7,FALSE)</f>
        <v>211</v>
      </c>
      <c r="C2" s="18">
        <f ca="1">VLOOKUP($K$1,StockList!$B$1:$P$20,8,FALSE)</f>
        <v>196</v>
      </c>
      <c r="D2" s="18">
        <f ca="1">VLOOKUP($K$1,StockList!$B$1:$P$20,14,FALSE)</f>
        <v>0.3</v>
      </c>
      <c r="E2" s="18"/>
      <c r="G2" s="20"/>
      <c r="H2" s="20"/>
      <c r="O2" s="34">
        <f ca="1">VLOOKUP($K$1,StockList!$B$1:$P$20,9,FALSE)</f>
        <v>207</v>
      </c>
      <c r="P2" s="34">
        <f ca="1">VLOOKUP($K$1,StockList!$B$1:$P$20,12,FALSE)</f>
        <v>211</v>
      </c>
      <c r="Q2" s="34">
        <f ca="1">VLOOKUP($K$1,StockList!$B$1:$P$20,13,FALSE)</f>
        <v>196</v>
      </c>
      <c r="R2" s="34">
        <f ca="1">VLOOKUP($K$1,StockList!$B$1:$P$20,14,FALSE)</f>
        <v>0.3</v>
      </c>
      <c r="S2" s="34"/>
    </row>
    <row r="4" spans="1:27" x14ac:dyDescent="0.25">
      <c r="B4" s="23" t="s">
        <v>50</v>
      </c>
      <c r="C4" s="23" t="s">
        <v>22</v>
      </c>
      <c r="D4" s="23" t="s">
        <v>23</v>
      </c>
      <c r="E4" s="23" t="s">
        <v>51</v>
      </c>
      <c r="I4" s="20" t="s">
        <v>50</v>
      </c>
      <c r="J4" s="20" t="s">
        <v>22</v>
      </c>
      <c r="K4" s="20" t="s">
        <v>23</v>
      </c>
      <c r="L4" s="20" t="s">
        <v>51</v>
      </c>
      <c r="O4" s="35"/>
      <c r="P4" s="21" t="s">
        <v>50</v>
      </c>
      <c r="Q4" s="21" t="s">
        <v>22</v>
      </c>
      <c r="R4" s="21" t="s">
        <v>23</v>
      </c>
      <c r="S4" s="19" t="s">
        <v>51</v>
      </c>
      <c r="W4" s="22" t="s">
        <v>50</v>
      </c>
      <c r="X4" s="22" t="s">
        <v>22</v>
      </c>
      <c r="Y4" s="22" t="s">
        <v>23</v>
      </c>
      <c r="Z4" s="22" t="s">
        <v>51</v>
      </c>
    </row>
    <row r="5" spans="1:27" x14ac:dyDescent="0.25">
      <c r="A5" s="19" t="s">
        <v>57</v>
      </c>
      <c r="B5" s="23">
        <f ca="1">VLOOKUP($K$1,StockList!$B$1:$P$20,5,FALSE)</f>
        <v>217.5</v>
      </c>
      <c r="C5" s="23">
        <f>IF(G2=0,StockList!D2,TSLA!G2)</f>
        <v>0.75</v>
      </c>
      <c r="D5" s="23">
        <f ca="1">VLOOKUP($K$1,StockList!$B$1:$P$20,6,FALSE)</f>
        <v>80.91</v>
      </c>
      <c r="E5" s="23"/>
      <c r="H5" s="19" t="s">
        <v>57</v>
      </c>
      <c r="I5" s="20">
        <f ca="1">B5</f>
        <v>217.5</v>
      </c>
      <c r="J5" s="20">
        <f>C5+0.1</f>
        <v>0.85</v>
      </c>
      <c r="K5" s="20">
        <f ca="1">D5</f>
        <v>80.91</v>
      </c>
      <c r="L5" s="20"/>
      <c r="O5" s="35" t="s">
        <v>58</v>
      </c>
      <c r="P5" s="21">
        <f ca="1">VLOOKUP($K$1,StockList!$B$1:$P$20,10,FALSE)</f>
        <v>217.5</v>
      </c>
      <c r="Q5" s="21">
        <f>C5</f>
        <v>0.75</v>
      </c>
      <c r="R5" s="21">
        <f ca="1">VLOOKUP($K$1,StockList!$B$1:$P$20,11,FALSE)</f>
        <v>80.91</v>
      </c>
      <c r="V5" s="19" t="s">
        <v>58</v>
      </c>
      <c r="W5" s="22">
        <f ca="1">B5</f>
        <v>217.5</v>
      </c>
      <c r="X5" s="22">
        <f>C5+0.1</f>
        <v>0.85</v>
      </c>
      <c r="Y5" s="22">
        <f ca="1">D5</f>
        <v>80.91</v>
      </c>
      <c r="Z5" s="22"/>
    </row>
    <row r="8" spans="1:27" x14ac:dyDescent="0.25">
      <c r="A8" s="18" t="s">
        <v>47</v>
      </c>
      <c r="B8" s="18" t="s">
        <v>24</v>
      </c>
      <c r="C8" s="18" t="s">
        <v>25</v>
      </c>
      <c r="D8" s="18" t="s">
        <v>26</v>
      </c>
      <c r="E8" s="18" t="s">
        <v>48</v>
      </c>
      <c r="F8" s="18" t="s">
        <v>49</v>
      </c>
      <c r="H8" s="20" t="s">
        <v>47</v>
      </c>
      <c r="I8" s="20" t="s">
        <v>24</v>
      </c>
      <c r="J8" s="20" t="s">
        <v>25</v>
      </c>
      <c r="K8" s="20" t="s">
        <v>26</v>
      </c>
      <c r="L8" s="20" t="s">
        <v>48</v>
      </c>
      <c r="M8" s="20" t="s">
        <v>49</v>
      </c>
      <c r="O8" s="24" t="s">
        <v>47</v>
      </c>
      <c r="P8" s="24" t="s">
        <v>24</v>
      </c>
      <c r="Q8" s="24" t="s">
        <v>25</v>
      </c>
      <c r="R8" s="24" t="s">
        <v>26</v>
      </c>
      <c r="S8" s="24" t="s">
        <v>48</v>
      </c>
      <c r="T8" s="24" t="s">
        <v>49</v>
      </c>
      <c r="V8" s="22" t="s">
        <v>47</v>
      </c>
      <c r="W8" s="22" t="s">
        <v>24</v>
      </c>
      <c r="X8" s="22" t="s">
        <v>25</v>
      </c>
      <c r="Y8" s="22" t="s">
        <v>26</v>
      </c>
      <c r="Z8" s="22" t="s">
        <v>48</v>
      </c>
      <c r="AA8" s="22" t="s">
        <v>49</v>
      </c>
    </row>
    <row r="9" spans="1:27" x14ac:dyDescent="0.25">
      <c r="A9" s="27">
        <v>0</v>
      </c>
      <c r="B9" s="27">
        <v>305</v>
      </c>
      <c r="C9" s="27">
        <v>0.35</v>
      </c>
      <c r="D9" s="27">
        <v>4.3099999999999996</v>
      </c>
      <c r="E9" s="27">
        <v>0</v>
      </c>
      <c r="F9" s="27">
        <v>0</v>
      </c>
      <c r="H9" s="28">
        <v>0</v>
      </c>
      <c r="I9" s="28">
        <v>305</v>
      </c>
      <c r="J9" s="28">
        <v>0.41</v>
      </c>
      <c r="K9" s="28">
        <v>4.37</v>
      </c>
      <c r="L9" s="28">
        <v>0</v>
      </c>
      <c r="M9" s="28">
        <v>0</v>
      </c>
      <c r="O9" s="25">
        <v>0</v>
      </c>
      <c r="P9" s="25">
        <v>301</v>
      </c>
      <c r="Q9" s="25">
        <v>2.04</v>
      </c>
      <c r="R9" s="25">
        <v>1</v>
      </c>
      <c r="S9" s="25">
        <v>0</v>
      </c>
      <c r="T9" s="25">
        <v>0</v>
      </c>
      <c r="V9" s="26">
        <v>0</v>
      </c>
      <c r="W9" s="26">
        <v>301</v>
      </c>
      <c r="X9" s="26">
        <v>0.05</v>
      </c>
      <c r="Y9" s="26">
        <v>8.01</v>
      </c>
      <c r="Z9" s="26">
        <v>0</v>
      </c>
      <c r="AA9" s="26">
        <v>0</v>
      </c>
    </row>
    <row r="10" spans="1:27" x14ac:dyDescent="0.25">
      <c r="A10" s="27">
        <v>1.28</v>
      </c>
      <c r="B10" s="27">
        <v>308.89999999999998</v>
      </c>
      <c r="C10" s="27">
        <v>1.58</v>
      </c>
      <c r="D10" s="27">
        <v>1.65</v>
      </c>
      <c r="E10" s="27">
        <v>358.94</v>
      </c>
      <c r="F10" s="27">
        <v>-61.74</v>
      </c>
      <c r="H10" s="28">
        <v>1.28</v>
      </c>
      <c r="I10" s="28">
        <v>308.89999999999998</v>
      </c>
      <c r="J10" s="28">
        <v>1.69</v>
      </c>
      <c r="K10" s="28">
        <v>1.75</v>
      </c>
      <c r="L10" s="28">
        <v>310.62</v>
      </c>
      <c r="M10" s="28">
        <v>-59.95</v>
      </c>
      <c r="O10" s="25">
        <v>2.62</v>
      </c>
      <c r="P10" s="25">
        <v>308.89999999999998</v>
      </c>
      <c r="Q10" s="25">
        <v>8.94</v>
      </c>
      <c r="R10" s="25">
        <v>0.01</v>
      </c>
      <c r="S10" s="25">
        <v>338.85</v>
      </c>
      <c r="T10" s="25">
        <v>-99.01</v>
      </c>
      <c r="V10" s="26">
        <v>2.62</v>
      </c>
      <c r="W10" s="26">
        <v>308.89999999999998</v>
      </c>
      <c r="X10" s="26">
        <v>1.69</v>
      </c>
      <c r="Y10" s="26">
        <v>1.75</v>
      </c>
      <c r="Z10" s="26">
        <v>3221.72</v>
      </c>
      <c r="AA10" s="26">
        <v>-78.14</v>
      </c>
    </row>
    <row r="11" spans="1:27" x14ac:dyDescent="0.25">
      <c r="A11" s="27">
        <v>0.49</v>
      </c>
      <c r="B11" s="27">
        <v>306.5</v>
      </c>
      <c r="C11" s="27">
        <v>0.67</v>
      </c>
      <c r="D11" s="27">
        <v>3.13</v>
      </c>
      <c r="E11" s="27">
        <v>93.78</v>
      </c>
      <c r="F11" s="27">
        <v>-27.29</v>
      </c>
      <c r="H11" s="28">
        <v>0.49</v>
      </c>
      <c r="I11" s="28">
        <v>306.5</v>
      </c>
      <c r="J11" s="28">
        <v>0.76</v>
      </c>
      <c r="K11" s="28">
        <v>3.22</v>
      </c>
      <c r="L11" s="28">
        <v>83.95</v>
      </c>
      <c r="M11" s="28">
        <v>-26.4</v>
      </c>
      <c r="O11" s="25">
        <v>1.83</v>
      </c>
      <c r="P11" s="25">
        <v>306.5</v>
      </c>
      <c r="Q11" s="25">
        <v>6.59</v>
      </c>
      <c r="R11" s="25">
        <v>0.06</v>
      </c>
      <c r="S11" s="25">
        <v>223.42</v>
      </c>
      <c r="T11" s="25">
        <v>-94.26</v>
      </c>
      <c r="V11" s="26">
        <v>1.83</v>
      </c>
      <c r="W11" s="26">
        <v>306.5</v>
      </c>
      <c r="X11" s="26">
        <v>0.76</v>
      </c>
      <c r="Y11" s="26">
        <v>3.22</v>
      </c>
      <c r="Z11" s="26">
        <v>1388.05</v>
      </c>
      <c r="AA11" s="26">
        <v>-59.83</v>
      </c>
    </row>
    <row r="12" spans="1:27" x14ac:dyDescent="0.25">
      <c r="A12" s="18">
        <v>0.66</v>
      </c>
      <c r="B12" s="18">
        <v>307</v>
      </c>
      <c r="C12" s="18">
        <v>0.82</v>
      </c>
      <c r="D12" s="18">
        <v>2.78</v>
      </c>
      <c r="E12" s="18">
        <v>136.37</v>
      </c>
      <c r="F12" s="18">
        <v>-35.479999999999997</v>
      </c>
      <c r="H12" s="20">
        <v>0.66</v>
      </c>
      <c r="I12" s="20">
        <v>307</v>
      </c>
      <c r="J12" s="20">
        <v>0.91</v>
      </c>
      <c r="K12" s="20">
        <v>2.87</v>
      </c>
      <c r="L12" s="20">
        <v>121.12</v>
      </c>
      <c r="M12" s="20">
        <v>-34.340000000000003</v>
      </c>
      <c r="O12" s="24">
        <v>0.66</v>
      </c>
      <c r="P12" s="24">
        <v>303</v>
      </c>
      <c r="Q12" s="24">
        <v>3.46</v>
      </c>
      <c r="R12" s="24">
        <v>0.42</v>
      </c>
      <c r="S12" s="24">
        <v>69.650000000000006</v>
      </c>
      <c r="T12" s="24">
        <v>-57.8</v>
      </c>
      <c r="V12" s="22">
        <v>0.66</v>
      </c>
      <c r="W12" s="22">
        <v>303</v>
      </c>
      <c r="X12" s="22">
        <v>0.16</v>
      </c>
      <c r="Y12" s="22">
        <v>6.12</v>
      </c>
      <c r="Z12" s="22">
        <v>210.91</v>
      </c>
      <c r="AA12" s="22">
        <v>-23.62</v>
      </c>
    </row>
    <row r="13" spans="1:27" x14ac:dyDescent="0.25">
      <c r="A13" s="18">
        <v>0.59</v>
      </c>
      <c r="B13" s="18">
        <v>306.8</v>
      </c>
      <c r="C13" s="18">
        <v>0.75</v>
      </c>
      <c r="D13" s="18">
        <v>2.92</v>
      </c>
      <c r="E13" s="18">
        <v>118.58</v>
      </c>
      <c r="F13" s="18">
        <v>-32.270000000000003</v>
      </c>
      <c r="H13" s="20">
        <v>0.59</v>
      </c>
      <c r="I13" s="20">
        <v>306.8</v>
      </c>
      <c r="J13" s="20">
        <v>0.85</v>
      </c>
      <c r="K13" s="20">
        <v>3.01</v>
      </c>
      <c r="L13" s="20">
        <v>105.65</v>
      </c>
      <c r="M13" s="20">
        <v>-31.22</v>
      </c>
      <c r="O13" s="24">
        <v>0.6</v>
      </c>
      <c r="P13" s="24">
        <v>302.8</v>
      </c>
      <c r="Q13" s="24">
        <v>3.3</v>
      </c>
      <c r="R13" s="24">
        <v>0.47</v>
      </c>
      <c r="S13" s="24">
        <v>61.91</v>
      </c>
      <c r="T13" s="24">
        <v>-53.6</v>
      </c>
      <c r="V13" s="22">
        <v>0.6</v>
      </c>
      <c r="W13" s="22">
        <v>302.8</v>
      </c>
      <c r="X13" s="22">
        <v>0.14000000000000001</v>
      </c>
      <c r="Y13" s="22">
        <v>6.3</v>
      </c>
      <c r="Z13" s="22">
        <v>179.87</v>
      </c>
      <c r="AA13" s="22">
        <v>-21.33</v>
      </c>
    </row>
    <row r="14" spans="1:27" x14ac:dyDescent="0.25">
      <c r="A14" s="18">
        <v>0.52</v>
      </c>
      <c r="B14" s="18">
        <v>306.60000000000002</v>
      </c>
      <c r="C14" s="18">
        <v>0.7</v>
      </c>
      <c r="D14" s="18">
        <v>3.06</v>
      </c>
      <c r="E14" s="18">
        <v>101.8</v>
      </c>
      <c r="F14" s="18">
        <v>-28.97</v>
      </c>
      <c r="H14" s="20">
        <v>0.52</v>
      </c>
      <c r="I14" s="20">
        <v>306.60000000000002</v>
      </c>
      <c r="J14" s="20">
        <v>0.79</v>
      </c>
      <c r="K14" s="20">
        <v>3.15</v>
      </c>
      <c r="L14" s="20">
        <v>90.99</v>
      </c>
      <c r="M14" s="20">
        <v>-28.03</v>
      </c>
      <c r="O14" s="24">
        <v>0.53</v>
      </c>
      <c r="P14" s="24">
        <v>302.60000000000002</v>
      </c>
      <c r="Q14" s="24">
        <v>3.15</v>
      </c>
      <c r="R14" s="24">
        <v>0.51</v>
      </c>
      <c r="S14" s="24">
        <v>54.32</v>
      </c>
      <c r="T14" s="24">
        <v>-49.09</v>
      </c>
      <c r="V14" s="22">
        <v>0.53</v>
      </c>
      <c r="W14" s="22">
        <v>302.60000000000002</v>
      </c>
      <c r="X14" s="22">
        <v>0.13</v>
      </c>
      <c r="Y14" s="22">
        <v>6.49</v>
      </c>
      <c r="Z14" s="22">
        <v>151.47</v>
      </c>
      <c r="AA14" s="22">
        <v>-19.010000000000002</v>
      </c>
    </row>
    <row r="15" spans="1:27" x14ac:dyDescent="0.25">
      <c r="A15" s="18">
        <v>0.46</v>
      </c>
      <c r="B15" s="18">
        <v>306.39999999999998</v>
      </c>
      <c r="C15" s="18">
        <v>0.64</v>
      </c>
      <c r="D15" s="18">
        <v>3.21</v>
      </c>
      <c r="E15" s="18">
        <v>85.99</v>
      </c>
      <c r="F15" s="18">
        <v>-25.6</v>
      </c>
      <c r="H15" s="20">
        <v>0.46</v>
      </c>
      <c r="I15" s="20">
        <v>306.39999999999998</v>
      </c>
      <c r="J15" s="20">
        <v>0.73</v>
      </c>
      <c r="K15" s="20">
        <v>3.29</v>
      </c>
      <c r="L15" s="20">
        <v>77.099999999999994</v>
      </c>
      <c r="M15" s="20">
        <v>-24.76</v>
      </c>
      <c r="O15" s="24">
        <v>0.47</v>
      </c>
      <c r="P15" s="24">
        <v>302.39999999999998</v>
      </c>
      <c r="Q15" s="24">
        <v>2.99</v>
      </c>
      <c r="R15" s="24">
        <v>0.56000000000000005</v>
      </c>
      <c r="S15" s="24">
        <v>46.9</v>
      </c>
      <c r="T15" s="24">
        <v>-44.24</v>
      </c>
      <c r="V15" s="22">
        <v>0.47</v>
      </c>
      <c r="W15" s="22">
        <v>302.39999999999998</v>
      </c>
      <c r="X15" s="22">
        <v>0.11</v>
      </c>
      <c r="Y15" s="22">
        <v>6.68</v>
      </c>
      <c r="Z15" s="22">
        <v>125.55</v>
      </c>
      <c r="AA15" s="22">
        <v>-16.68</v>
      </c>
    </row>
    <row r="16" spans="1:27" x14ac:dyDescent="0.25">
      <c r="A16" s="18">
        <v>0.39</v>
      </c>
      <c r="B16" s="18">
        <v>306.2</v>
      </c>
      <c r="C16" s="18">
        <v>0.59</v>
      </c>
      <c r="D16" s="18">
        <v>3.36</v>
      </c>
      <c r="E16" s="18">
        <v>71.12</v>
      </c>
      <c r="F16" s="18">
        <v>-22.15</v>
      </c>
      <c r="H16" s="20">
        <v>0.39</v>
      </c>
      <c r="I16" s="20">
        <v>306.2</v>
      </c>
      <c r="J16" s="20">
        <v>0.68</v>
      </c>
      <c r="K16" s="20">
        <v>3.44</v>
      </c>
      <c r="L16" s="20">
        <v>63.98</v>
      </c>
      <c r="M16" s="20">
        <v>-21.42</v>
      </c>
      <c r="O16" s="24">
        <v>0.4</v>
      </c>
      <c r="P16" s="24">
        <v>302.2</v>
      </c>
      <c r="Q16" s="24">
        <v>2.85</v>
      </c>
      <c r="R16" s="24">
        <v>0.61</v>
      </c>
      <c r="S16" s="24">
        <v>39.64</v>
      </c>
      <c r="T16" s="24">
        <v>-39.04</v>
      </c>
      <c r="V16" s="22">
        <v>0.4</v>
      </c>
      <c r="W16" s="22">
        <v>302.2</v>
      </c>
      <c r="X16" s="22">
        <v>0.1</v>
      </c>
      <c r="Y16" s="22">
        <v>6.86</v>
      </c>
      <c r="Z16" s="22">
        <v>101.93</v>
      </c>
      <c r="AA16" s="22">
        <v>-14.33</v>
      </c>
    </row>
    <row r="17" spans="1:27" x14ac:dyDescent="0.25">
      <c r="A17" s="18">
        <v>0.33</v>
      </c>
      <c r="B17" s="18">
        <v>306</v>
      </c>
      <c r="C17" s="18">
        <v>0.54</v>
      </c>
      <c r="D17" s="18">
        <v>3.51</v>
      </c>
      <c r="E17" s="18">
        <v>57.17</v>
      </c>
      <c r="F17" s="18">
        <v>-18.62</v>
      </c>
      <c r="H17" s="20">
        <v>0.33</v>
      </c>
      <c r="I17" s="20">
        <v>306</v>
      </c>
      <c r="J17" s="20">
        <v>0.62</v>
      </c>
      <c r="K17" s="20">
        <v>3.58</v>
      </c>
      <c r="L17" s="20">
        <v>51.6</v>
      </c>
      <c r="M17" s="20">
        <v>-18.010000000000002</v>
      </c>
      <c r="O17" s="24">
        <v>0.33</v>
      </c>
      <c r="P17" s="24">
        <v>302</v>
      </c>
      <c r="Q17" s="24">
        <v>2.7</v>
      </c>
      <c r="R17" s="24">
        <v>0.67</v>
      </c>
      <c r="S17" s="24">
        <v>32.57</v>
      </c>
      <c r="T17" s="24">
        <v>-33.49</v>
      </c>
      <c r="V17" s="22">
        <v>0.33</v>
      </c>
      <c r="W17" s="22">
        <v>302</v>
      </c>
      <c r="X17" s="22">
        <v>0.09</v>
      </c>
      <c r="Y17" s="22">
        <v>7.05</v>
      </c>
      <c r="Z17" s="22">
        <v>80.45</v>
      </c>
      <c r="AA17" s="22">
        <v>-11.97</v>
      </c>
    </row>
    <row r="18" spans="1:27" x14ac:dyDescent="0.25">
      <c r="A18" s="18">
        <v>0.26</v>
      </c>
      <c r="B18" s="18">
        <v>305.8</v>
      </c>
      <c r="C18" s="18">
        <v>0.5</v>
      </c>
      <c r="D18" s="18">
        <v>3.66</v>
      </c>
      <c r="E18" s="18">
        <v>44.1</v>
      </c>
      <c r="F18" s="18">
        <v>-15.03</v>
      </c>
      <c r="H18" s="20">
        <v>0.26</v>
      </c>
      <c r="I18" s="20">
        <v>305.8</v>
      </c>
      <c r="J18" s="20">
        <v>0.57999999999999996</v>
      </c>
      <c r="K18" s="20">
        <v>3.74</v>
      </c>
      <c r="L18" s="20">
        <v>39.93</v>
      </c>
      <c r="M18" s="20">
        <v>-14.54</v>
      </c>
      <c r="O18" s="24">
        <v>0.27</v>
      </c>
      <c r="P18" s="24">
        <v>301.8</v>
      </c>
      <c r="Q18" s="24">
        <v>2.56</v>
      </c>
      <c r="R18" s="24">
        <v>0.73</v>
      </c>
      <c r="S18" s="24">
        <v>25.67</v>
      </c>
      <c r="T18" s="24">
        <v>-27.57</v>
      </c>
      <c r="V18" s="22">
        <v>0.27</v>
      </c>
      <c r="W18" s="22">
        <v>301.8</v>
      </c>
      <c r="X18" s="22">
        <v>0.08</v>
      </c>
      <c r="Y18" s="22">
        <v>7.24</v>
      </c>
      <c r="Z18" s="22">
        <v>60.96</v>
      </c>
      <c r="AA18" s="22">
        <v>-9.6</v>
      </c>
    </row>
    <row r="19" spans="1:27" x14ac:dyDescent="0.25">
      <c r="A19" s="18">
        <v>0.2</v>
      </c>
      <c r="B19" s="18">
        <v>305.60000000000002</v>
      </c>
      <c r="C19" s="18">
        <v>0.46</v>
      </c>
      <c r="D19" s="18">
        <v>3.82</v>
      </c>
      <c r="E19" s="18">
        <v>31.88</v>
      </c>
      <c r="F19" s="18">
        <v>-11.37</v>
      </c>
      <c r="H19" s="20">
        <v>0.2</v>
      </c>
      <c r="I19" s="20">
        <v>305.60000000000002</v>
      </c>
      <c r="J19" s="20">
        <v>0.53</v>
      </c>
      <c r="K19" s="20">
        <v>3.89</v>
      </c>
      <c r="L19" s="20">
        <v>28.97</v>
      </c>
      <c r="M19" s="20">
        <v>-11</v>
      </c>
      <c r="O19" s="24">
        <v>0.2</v>
      </c>
      <c r="P19" s="24">
        <v>301.60000000000002</v>
      </c>
      <c r="Q19" s="24">
        <v>2.42</v>
      </c>
      <c r="R19" s="24">
        <v>0.79</v>
      </c>
      <c r="S19" s="24">
        <v>18.96</v>
      </c>
      <c r="T19" s="24">
        <v>-21.27</v>
      </c>
      <c r="V19" s="22">
        <v>0.2</v>
      </c>
      <c r="W19" s="22">
        <v>301.60000000000002</v>
      </c>
      <c r="X19" s="22">
        <v>7.0000000000000007E-2</v>
      </c>
      <c r="Y19" s="22">
        <v>7.43</v>
      </c>
      <c r="Z19" s="22">
        <v>43.31</v>
      </c>
      <c r="AA19" s="22">
        <v>-7.21</v>
      </c>
    </row>
    <row r="20" spans="1:27" x14ac:dyDescent="0.25">
      <c r="A20" s="18">
        <v>0.13</v>
      </c>
      <c r="B20" s="18">
        <v>305.39999999999998</v>
      </c>
      <c r="C20" s="18">
        <v>0.42</v>
      </c>
      <c r="D20" s="18">
        <v>3.98</v>
      </c>
      <c r="E20" s="18">
        <v>20.48</v>
      </c>
      <c r="F20" s="18">
        <v>-7.64</v>
      </c>
      <c r="H20" s="20">
        <v>0.13</v>
      </c>
      <c r="I20" s="20">
        <v>305.39999999999998</v>
      </c>
      <c r="J20" s="20">
        <v>0.49</v>
      </c>
      <c r="K20" s="20">
        <v>4.05</v>
      </c>
      <c r="L20" s="20">
        <v>18.670000000000002</v>
      </c>
      <c r="M20" s="20">
        <v>-7.39</v>
      </c>
      <c r="O20" s="24">
        <v>0.13</v>
      </c>
      <c r="P20" s="24">
        <v>301.39999999999998</v>
      </c>
      <c r="Q20" s="24">
        <v>2.29</v>
      </c>
      <c r="R20" s="24">
        <v>0.86</v>
      </c>
      <c r="S20" s="24">
        <v>12.44</v>
      </c>
      <c r="T20" s="24">
        <v>-14.58</v>
      </c>
      <c r="V20" s="22">
        <v>0.13</v>
      </c>
      <c r="W20" s="22">
        <v>301.39999999999998</v>
      </c>
      <c r="X20" s="22">
        <v>0.06</v>
      </c>
      <c r="Y20" s="22">
        <v>7.63</v>
      </c>
      <c r="Z20" s="22">
        <v>27.35</v>
      </c>
      <c r="AA20" s="22">
        <v>-4.82</v>
      </c>
    </row>
    <row r="21" spans="1:27" x14ac:dyDescent="0.25">
      <c r="A21" s="18">
        <v>7.0000000000000007E-2</v>
      </c>
      <c r="B21" s="18">
        <v>305.2</v>
      </c>
      <c r="C21" s="18">
        <v>0.38</v>
      </c>
      <c r="D21" s="18">
        <v>4.1399999999999997</v>
      </c>
      <c r="E21" s="18">
        <v>9.86</v>
      </c>
      <c r="F21" s="18">
        <v>-3.85</v>
      </c>
      <c r="H21" s="20">
        <v>7.0000000000000007E-2</v>
      </c>
      <c r="I21" s="20">
        <v>305.2</v>
      </c>
      <c r="J21" s="20">
        <v>0.45</v>
      </c>
      <c r="K21" s="20">
        <v>4.21</v>
      </c>
      <c r="L21" s="20">
        <v>9.02</v>
      </c>
      <c r="M21" s="20">
        <v>-3.72</v>
      </c>
      <c r="O21" s="24">
        <v>7.0000000000000007E-2</v>
      </c>
      <c r="P21" s="24">
        <v>301.2</v>
      </c>
      <c r="Q21" s="24">
        <v>2.16</v>
      </c>
      <c r="R21" s="24">
        <v>0.93</v>
      </c>
      <c r="S21" s="24">
        <v>6.12</v>
      </c>
      <c r="T21" s="24">
        <v>-7.5</v>
      </c>
      <c r="V21" s="22">
        <v>7.0000000000000007E-2</v>
      </c>
      <c r="W21" s="22">
        <v>301.2</v>
      </c>
      <c r="X21" s="22">
        <v>0.06</v>
      </c>
      <c r="Y21" s="22">
        <v>7.82</v>
      </c>
      <c r="Z21" s="22">
        <v>12.96</v>
      </c>
      <c r="AA21" s="22">
        <v>-2.41</v>
      </c>
    </row>
    <row r="22" spans="1:27" x14ac:dyDescent="0.25">
      <c r="A22" s="18">
        <v>0</v>
      </c>
      <c r="B22" s="18">
        <v>305</v>
      </c>
      <c r="C22" s="18">
        <v>0.35</v>
      </c>
      <c r="D22" s="18">
        <v>4.3099999999999996</v>
      </c>
      <c r="E22" s="18">
        <v>0</v>
      </c>
      <c r="F22" s="18">
        <v>0</v>
      </c>
      <c r="H22" s="20">
        <v>0</v>
      </c>
      <c r="I22" s="20">
        <v>305</v>
      </c>
      <c r="J22" s="20">
        <v>0.41</v>
      </c>
      <c r="K22" s="20">
        <v>4.37</v>
      </c>
      <c r="L22" s="20">
        <v>0</v>
      </c>
      <c r="M22" s="20">
        <v>0</v>
      </c>
      <c r="O22" s="24">
        <v>0</v>
      </c>
      <c r="P22" s="24">
        <v>301</v>
      </c>
      <c r="Q22" s="24">
        <v>2.04</v>
      </c>
      <c r="R22" s="24">
        <v>1</v>
      </c>
      <c r="S22" s="24">
        <v>0</v>
      </c>
      <c r="T22" s="24">
        <v>0</v>
      </c>
      <c r="V22" s="22">
        <v>0</v>
      </c>
      <c r="W22" s="22">
        <v>301</v>
      </c>
      <c r="X22" s="22">
        <v>0.05</v>
      </c>
      <c r="Y22" s="22">
        <v>8.01</v>
      </c>
      <c r="Z22" s="22">
        <v>0</v>
      </c>
      <c r="AA22" s="22">
        <v>0</v>
      </c>
    </row>
    <row r="23" spans="1:27" x14ac:dyDescent="0.25">
      <c r="A23" s="18">
        <v>-7.0000000000000007E-2</v>
      </c>
      <c r="B23" s="18">
        <v>304.8</v>
      </c>
      <c r="C23" s="18">
        <v>0.31</v>
      </c>
      <c r="D23" s="18">
        <v>4.4800000000000004</v>
      </c>
      <c r="E23" s="18">
        <v>-9.15</v>
      </c>
      <c r="F23" s="18">
        <v>3.91</v>
      </c>
      <c r="H23" s="20">
        <v>-7.0000000000000007E-2</v>
      </c>
      <c r="I23" s="20">
        <v>304.8</v>
      </c>
      <c r="J23" s="20">
        <v>0.38</v>
      </c>
      <c r="K23" s="20">
        <v>4.54</v>
      </c>
      <c r="L23" s="20">
        <v>-8.43</v>
      </c>
      <c r="M23" s="20">
        <v>3.78</v>
      </c>
      <c r="O23" s="24">
        <v>-7.0000000000000007E-2</v>
      </c>
      <c r="P23" s="24">
        <v>300.8</v>
      </c>
      <c r="Q23" s="24">
        <v>1.92</v>
      </c>
      <c r="R23" s="24">
        <v>1.08</v>
      </c>
      <c r="S23" s="24">
        <v>-5.92</v>
      </c>
      <c r="T23" s="24">
        <v>7.91</v>
      </c>
      <c r="V23" s="22">
        <v>-7.0000000000000007E-2</v>
      </c>
      <c r="W23" s="22">
        <v>300.8</v>
      </c>
      <c r="X23" s="22">
        <v>0.04</v>
      </c>
      <c r="Y23" s="22">
        <v>8.2100000000000009</v>
      </c>
      <c r="Z23" s="22">
        <v>-11.64</v>
      </c>
      <c r="AA23" s="22">
        <v>2.42</v>
      </c>
    </row>
    <row r="24" spans="1:27" x14ac:dyDescent="0.25">
      <c r="A24" s="18">
        <v>-0.13</v>
      </c>
      <c r="B24" s="18">
        <v>304.60000000000002</v>
      </c>
      <c r="C24" s="18">
        <v>0.28000000000000003</v>
      </c>
      <c r="D24" s="18">
        <v>4.6500000000000004</v>
      </c>
      <c r="E24" s="18">
        <v>-17.61</v>
      </c>
      <c r="F24" s="18">
        <v>7.87</v>
      </c>
      <c r="H24" s="20">
        <v>-0.13</v>
      </c>
      <c r="I24" s="20">
        <v>304.60000000000002</v>
      </c>
      <c r="J24" s="20">
        <v>0.34</v>
      </c>
      <c r="K24" s="20">
        <v>4.71</v>
      </c>
      <c r="L24" s="20">
        <v>-16.28</v>
      </c>
      <c r="M24" s="20">
        <v>7.62</v>
      </c>
      <c r="O24" s="24">
        <v>-0.13</v>
      </c>
      <c r="P24" s="24">
        <v>300.60000000000002</v>
      </c>
      <c r="Q24" s="24">
        <v>1.8</v>
      </c>
      <c r="R24" s="24">
        <v>1.17</v>
      </c>
      <c r="S24" s="24">
        <v>-11.62</v>
      </c>
      <c r="T24" s="24">
        <v>16.239999999999998</v>
      </c>
      <c r="V24" s="22">
        <v>-0.13</v>
      </c>
      <c r="W24" s="22">
        <v>300.60000000000002</v>
      </c>
      <c r="X24" s="22">
        <v>0.04</v>
      </c>
      <c r="Y24" s="22">
        <v>8.4</v>
      </c>
      <c r="Z24" s="22">
        <v>-22.08</v>
      </c>
      <c r="AA24" s="22">
        <v>4.8499999999999996</v>
      </c>
    </row>
    <row r="25" spans="1:27" x14ac:dyDescent="0.25">
      <c r="A25" s="18">
        <v>-0.2</v>
      </c>
      <c r="B25" s="18">
        <v>304.39999999999998</v>
      </c>
      <c r="C25" s="18">
        <v>0.26</v>
      </c>
      <c r="D25" s="18">
        <v>4.82</v>
      </c>
      <c r="E25" s="18">
        <v>-25.43</v>
      </c>
      <c r="F25" s="18">
        <v>11.88</v>
      </c>
      <c r="H25" s="20">
        <v>-0.2</v>
      </c>
      <c r="I25" s="20">
        <v>304.39999999999998</v>
      </c>
      <c r="J25" s="20">
        <v>0.31</v>
      </c>
      <c r="K25" s="20">
        <v>4.88</v>
      </c>
      <c r="L25" s="20">
        <v>-23.59</v>
      </c>
      <c r="M25" s="20">
        <v>11.5</v>
      </c>
      <c r="O25" s="24">
        <v>-0.2</v>
      </c>
      <c r="P25" s="24">
        <v>300.39999999999998</v>
      </c>
      <c r="Q25" s="24">
        <v>1.69</v>
      </c>
      <c r="R25" s="24">
        <v>1.26</v>
      </c>
      <c r="S25" s="24">
        <v>-17.12</v>
      </c>
      <c r="T25" s="24">
        <v>25</v>
      </c>
      <c r="V25" s="22">
        <v>-0.2</v>
      </c>
      <c r="W25" s="22">
        <v>300.39999999999998</v>
      </c>
      <c r="X25" s="22">
        <v>0.03</v>
      </c>
      <c r="Y25" s="22">
        <v>8.6</v>
      </c>
      <c r="Z25" s="22">
        <v>-31.41</v>
      </c>
      <c r="AA25" s="22">
        <v>7.29</v>
      </c>
    </row>
    <row r="26" spans="1:27" x14ac:dyDescent="0.25">
      <c r="A26" s="18">
        <v>-0.26</v>
      </c>
      <c r="B26" s="18">
        <v>304.2</v>
      </c>
      <c r="C26" s="18">
        <v>0.23</v>
      </c>
      <c r="D26" s="18">
        <v>5</v>
      </c>
      <c r="E26" s="18">
        <v>-32.64</v>
      </c>
      <c r="F26" s="18">
        <v>15.95</v>
      </c>
      <c r="H26" s="20">
        <v>-0.26</v>
      </c>
      <c r="I26" s="20">
        <v>304.2</v>
      </c>
      <c r="J26" s="20">
        <v>0.28999999999999998</v>
      </c>
      <c r="K26" s="20">
        <v>5.05</v>
      </c>
      <c r="L26" s="20">
        <v>-30.38</v>
      </c>
      <c r="M26" s="20">
        <v>15.44</v>
      </c>
      <c r="O26" s="24">
        <v>-0.27</v>
      </c>
      <c r="P26" s="24">
        <v>300.2</v>
      </c>
      <c r="Q26" s="24">
        <v>1.58</v>
      </c>
      <c r="R26" s="24">
        <v>1.35</v>
      </c>
      <c r="S26" s="24">
        <v>-22.41</v>
      </c>
      <c r="T26" s="24">
        <v>34.19</v>
      </c>
      <c r="V26" s="22">
        <v>-0.27</v>
      </c>
      <c r="W26" s="22">
        <v>300.2</v>
      </c>
      <c r="X26" s="22">
        <v>0.03</v>
      </c>
      <c r="Y26" s="22">
        <v>8.7899999999999991</v>
      </c>
      <c r="Z26" s="22">
        <v>-39.75</v>
      </c>
      <c r="AA26" s="22">
        <v>9.73</v>
      </c>
    </row>
    <row r="27" spans="1:27" x14ac:dyDescent="0.25">
      <c r="A27" s="18">
        <v>-0.33</v>
      </c>
      <c r="B27" s="18">
        <v>304</v>
      </c>
      <c r="C27" s="18">
        <v>0.21</v>
      </c>
      <c r="D27" s="18">
        <v>5.17</v>
      </c>
      <c r="E27" s="18">
        <v>-39.270000000000003</v>
      </c>
      <c r="F27" s="18">
        <v>20.059999999999999</v>
      </c>
      <c r="H27" s="20">
        <v>-0.33</v>
      </c>
      <c r="I27" s="20">
        <v>304</v>
      </c>
      <c r="J27" s="20">
        <v>0.26</v>
      </c>
      <c r="K27" s="20">
        <v>5.22</v>
      </c>
      <c r="L27" s="20">
        <v>-36.67</v>
      </c>
      <c r="M27" s="20">
        <v>19.420000000000002</v>
      </c>
      <c r="O27" s="24">
        <v>-0.33</v>
      </c>
      <c r="P27" s="24">
        <v>300</v>
      </c>
      <c r="Q27" s="24">
        <v>1.48</v>
      </c>
      <c r="R27" s="24">
        <v>1.44</v>
      </c>
      <c r="S27" s="24">
        <v>-27.48</v>
      </c>
      <c r="T27" s="24">
        <v>43.81</v>
      </c>
      <c r="V27" s="22">
        <v>-0.33</v>
      </c>
      <c r="W27" s="22">
        <v>300</v>
      </c>
      <c r="X27" s="22">
        <v>0.03</v>
      </c>
      <c r="Y27" s="22">
        <v>8.99</v>
      </c>
      <c r="Z27" s="22">
        <v>-47.18</v>
      </c>
      <c r="AA27" s="22">
        <v>12.18</v>
      </c>
    </row>
    <row r="28" spans="1:27" x14ac:dyDescent="0.25">
      <c r="A28" s="18">
        <v>-0.39</v>
      </c>
      <c r="B28" s="18">
        <v>303.8</v>
      </c>
      <c r="C28" s="18">
        <v>0.19</v>
      </c>
      <c r="D28" s="18">
        <v>5.35</v>
      </c>
      <c r="E28" s="18">
        <v>-45.35</v>
      </c>
      <c r="F28" s="18">
        <v>24.21</v>
      </c>
      <c r="H28" s="20">
        <v>-0.39</v>
      </c>
      <c r="I28" s="20">
        <v>303.8</v>
      </c>
      <c r="J28" s="20">
        <v>0.24</v>
      </c>
      <c r="K28" s="20">
        <v>5.4</v>
      </c>
      <c r="L28" s="20">
        <v>-42.49</v>
      </c>
      <c r="M28" s="20">
        <v>23.45</v>
      </c>
      <c r="O28" s="24">
        <v>-0.4</v>
      </c>
      <c r="P28" s="24">
        <v>299.8</v>
      </c>
      <c r="Q28" s="24">
        <v>1.38</v>
      </c>
      <c r="R28" s="24">
        <v>1.54</v>
      </c>
      <c r="S28" s="24">
        <v>-32.340000000000003</v>
      </c>
      <c r="T28" s="24">
        <v>53.86</v>
      </c>
      <c r="V28" s="22">
        <v>-0.4</v>
      </c>
      <c r="W28" s="22">
        <v>299.8</v>
      </c>
      <c r="X28" s="22">
        <v>0.02</v>
      </c>
      <c r="Y28" s="22">
        <v>9.18</v>
      </c>
      <c r="Z28" s="22">
        <v>-53.78</v>
      </c>
      <c r="AA28" s="22">
        <v>14.64</v>
      </c>
    </row>
    <row r="29" spans="1:27" x14ac:dyDescent="0.25">
      <c r="A29" s="18">
        <v>-0.46</v>
      </c>
      <c r="B29" s="18">
        <v>303.60000000000002</v>
      </c>
      <c r="C29" s="18">
        <v>0.17</v>
      </c>
      <c r="D29" s="18">
        <v>5.53</v>
      </c>
      <c r="E29" s="18">
        <v>-50.92</v>
      </c>
      <c r="F29" s="18">
        <v>28.4</v>
      </c>
      <c r="H29" s="20">
        <v>-0.46</v>
      </c>
      <c r="I29" s="20">
        <v>303.60000000000002</v>
      </c>
      <c r="J29" s="20">
        <v>0.21</v>
      </c>
      <c r="K29" s="20">
        <v>5.58</v>
      </c>
      <c r="L29" s="20">
        <v>-47.86</v>
      </c>
      <c r="M29" s="20">
        <v>27.51</v>
      </c>
      <c r="O29" s="24">
        <v>-0.47</v>
      </c>
      <c r="P29" s="24">
        <v>299.60000000000002</v>
      </c>
      <c r="Q29" s="24">
        <v>1.28</v>
      </c>
      <c r="R29" s="24">
        <v>1.65</v>
      </c>
      <c r="S29" s="24">
        <v>-36.99</v>
      </c>
      <c r="T29" s="24">
        <v>64.349999999999994</v>
      </c>
      <c r="V29" s="22">
        <v>-0.47</v>
      </c>
      <c r="W29" s="22">
        <v>299.60000000000002</v>
      </c>
      <c r="X29" s="22">
        <v>0.02</v>
      </c>
      <c r="Y29" s="22">
        <v>9.3800000000000008</v>
      </c>
      <c r="Z29" s="22">
        <v>-59.64</v>
      </c>
      <c r="AA29" s="22">
        <v>17.100000000000001</v>
      </c>
    </row>
    <row r="30" spans="1:27" x14ac:dyDescent="0.25">
      <c r="A30" s="18">
        <v>-0.52</v>
      </c>
      <c r="B30" s="18">
        <v>303.39999999999998</v>
      </c>
      <c r="C30" s="18">
        <v>0.15</v>
      </c>
      <c r="D30" s="18">
        <v>5.72</v>
      </c>
      <c r="E30" s="18">
        <v>-56.01</v>
      </c>
      <c r="F30" s="18">
        <v>32.64</v>
      </c>
      <c r="H30" s="20">
        <v>-0.52</v>
      </c>
      <c r="I30" s="20">
        <v>303.39999999999998</v>
      </c>
      <c r="J30" s="20">
        <v>0.19</v>
      </c>
      <c r="K30" s="20">
        <v>5.75</v>
      </c>
      <c r="L30" s="20">
        <v>-52.82</v>
      </c>
      <c r="M30" s="20">
        <v>31.62</v>
      </c>
      <c r="O30" s="24">
        <v>-0.53</v>
      </c>
      <c r="P30" s="24">
        <v>299.39999999999998</v>
      </c>
      <c r="Q30" s="24">
        <v>1.19</v>
      </c>
      <c r="R30" s="24">
        <v>1.76</v>
      </c>
      <c r="S30" s="24">
        <v>-41.42</v>
      </c>
      <c r="T30" s="24">
        <v>75.27</v>
      </c>
      <c r="V30" s="22">
        <v>-0.53</v>
      </c>
      <c r="W30" s="22">
        <v>299.39999999999998</v>
      </c>
      <c r="X30" s="22">
        <v>0.02</v>
      </c>
      <c r="Y30" s="22">
        <v>9.58</v>
      </c>
      <c r="Z30" s="22">
        <v>-64.819999999999993</v>
      </c>
      <c r="AA30" s="22">
        <v>19.559999999999999</v>
      </c>
    </row>
    <row r="31" spans="1:27" x14ac:dyDescent="0.25">
      <c r="A31" s="18">
        <v>-0.59</v>
      </c>
      <c r="B31" s="18">
        <v>303.2</v>
      </c>
      <c r="C31" s="18">
        <v>0.14000000000000001</v>
      </c>
      <c r="D31" s="18">
        <v>5.9</v>
      </c>
      <c r="E31" s="18">
        <v>-60.65</v>
      </c>
      <c r="F31" s="18">
        <v>36.9</v>
      </c>
      <c r="H31" s="20">
        <v>-0.59</v>
      </c>
      <c r="I31" s="20">
        <v>303.2</v>
      </c>
      <c r="J31" s="20">
        <v>0.18</v>
      </c>
      <c r="K31" s="20">
        <v>5.94</v>
      </c>
      <c r="L31" s="20">
        <v>-57.38</v>
      </c>
      <c r="M31" s="20">
        <v>35.770000000000003</v>
      </c>
      <c r="O31" s="24">
        <v>-0.6</v>
      </c>
      <c r="P31" s="24">
        <v>299.2</v>
      </c>
      <c r="Q31" s="24">
        <v>1.1100000000000001</v>
      </c>
      <c r="R31" s="24">
        <v>1.87</v>
      </c>
      <c r="S31" s="24">
        <v>-45.64</v>
      </c>
      <c r="T31" s="24">
        <v>86.62</v>
      </c>
      <c r="V31" s="22">
        <v>-0.6</v>
      </c>
      <c r="W31" s="22">
        <v>299.2</v>
      </c>
      <c r="X31" s="22">
        <v>0.02</v>
      </c>
      <c r="Y31" s="22">
        <v>9.7799999999999994</v>
      </c>
      <c r="Z31" s="22">
        <v>-69.400000000000006</v>
      </c>
      <c r="AA31" s="22">
        <v>22.03</v>
      </c>
    </row>
    <row r="32" spans="1:27" x14ac:dyDescent="0.25">
      <c r="A32" s="18">
        <v>-0.66</v>
      </c>
      <c r="B32" s="18">
        <v>303</v>
      </c>
      <c r="C32" s="18">
        <v>0.12</v>
      </c>
      <c r="D32" s="18">
        <v>6.09</v>
      </c>
      <c r="E32" s="18">
        <v>-64.88</v>
      </c>
      <c r="F32" s="18">
        <v>41.21</v>
      </c>
      <c r="H32" s="20">
        <v>-0.66</v>
      </c>
      <c r="I32" s="20">
        <v>303</v>
      </c>
      <c r="J32" s="20">
        <v>0.16</v>
      </c>
      <c r="K32" s="20">
        <v>6.12</v>
      </c>
      <c r="L32" s="20">
        <v>-61.57</v>
      </c>
      <c r="M32" s="20">
        <v>39.950000000000003</v>
      </c>
      <c r="O32" s="24">
        <v>-0.66</v>
      </c>
      <c r="P32" s="24">
        <v>299</v>
      </c>
      <c r="Q32" s="24">
        <v>1.03</v>
      </c>
      <c r="R32" s="24">
        <v>1.99</v>
      </c>
      <c r="S32" s="24">
        <v>-49.65</v>
      </c>
      <c r="T32" s="24">
        <v>98.39</v>
      </c>
      <c r="V32" s="22">
        <v>-0.66</v>
      </c>
      <c r="W32" s="22">
        <v>299</v>
      </c>
      <c r="X32" s="22">
        <v>0.01</v>
      </c>
      <c r="Y32" s="22">
        <v>9.9700000000000006</v>
      </c>
      <c r="Z32" s="22">
        <v>-73.44</v>
      </c>
      <c r="AA32" s="22">
        <v>24.5</v>
      </c>
    </row>
    <row r="33" spans="1:27" x14ac:dyDescent="0.25">
      <c r="A33" s="18">
        <v>-0.72</v>
      </c>
      <c r="B33" s="18">
        <v>302.8</v>
      </c>
      <c r="C33" s="18">
        <v>0.11</v>
      </c>
      <c r="D33" s="18">
        <v>6.27</v>
      </c>
      <c r="E33" s="18">
        <v>-68.709999999999994</v>
      </c>
      <c r="F33" s="18">
        <v>45.54</v>
      </c>
      <c r="H33" s="20">
        <v>-0.72</v>
      </c>
      <c r="I33" s="20">
        <v>302.8</v>
      </c>
      <c r="J33" s="20">
        <v>0.14000000000000001</v>
      </c>
      <c r="K33" s="20">
        <v>6.3</v>
      </c>
      <c r="L33" s="20">
        <v>-65.400000000000006</v>
      </c>
      <c r="M33" s="20">
        <v>44.16</v>
      </c>
      <c r="O33" s="24">
        <v>-0.73</v>
      </c>
      <c r="P33" s="24">
        <v>298.8</v>
      </c>
      <c r="Q33" s="24">
        <v>0.95</v>
      </c>
      <c r="R33" s="24">
        <v>2.11</v>
      </c>
      <c r="S33" s="24">
        <v>-53.46</v>
      </c>
      <c r="T33" s="24">
        <v>110.59</v>
      </c>
      <c r="V33" s="22">
        <v>-0.73</v>
      </c>
      <c r="W33" s="22">
        <v>298.8</v>
      </c>
      <c r="X33" s="22">
        <v>0.01</v>
      </c>
      <c r="Y33" s="22">
        <v>10.17</v>
      </c>
      <c r="Z33" s="22">
        <v>-77</v>
      </c>
      <c r="AA33" s="22">
        <v>26.97</v>
      </c>
    </row>
    <row r="34" spans="1:27" x14ac:dyDescent="0.25">
      <c r="A34" s="18">
        <v>-0.79</v>
      </c>
      <c r="B34" s="18">
        <v>302.60000000000002</v>
      </c>
      <c r="C34" s="18">
        <v>0.1</v>
      </c>
      <c r="D34" s="18">
        <v>6.46</v>
      </c>
      <c r="E34" s="18">
        <v>-72.180000000000007</v>
      </c>
      <c r="F34" s="18">
        <v>49.9</v>
      </c>
      <c r="H34" s="20">
        <v>-0.79</v>
      </c>
      <c r="I34" s="20">
        <v>302.60000000000002</v>
      </c>
      <c r="J34" s="20">
        <v>0.13</v>
      </c>
      <c r="K34" s="20">
        <v>6.49</v>
      </c>
      <c r="L34" s="20">
        <v>-68.91</v>
      </c>
      <c r="M34" s="20">
        <v>48.4</v>
      </c>
      <c r="O34" s="24">
        <v>-0.8</v>
      </c>
      <c r="P34" s="24">
        <v>298.60000000000002</v>
      </c>
      <c r="Q34" s="24">
        <v>0.88</v>
      </c>
      <c r="R34" s="24">
        <v>2.2400000000000002</v>
      </c>
      <c r="S34" s="24">
        <v>-57.06</v>
      </c>
      <c r="T34" s="24">
        <v>123.2</v>
      </c>
      <c r="V34" s="22">
        <v>-0.8</v>
      </c>
      <c r="W34" s="22">
        <v>298.60000000000002</v>
      </c>
      <c r="X34" s="22">
        <v>0.01</v>
      </c>
      <c r="Y34" s="22">
        <v>10.37</v>
      </c>
      <c r="Z34" s="22">
        <v>-80.11</v>
      </c>
      <c r="AA34" s="22">
        <v>29.45</v>
      </c>
    </row>
    <row r="51" spans="1:2" x14ac:dyDescent="0.25">
      <c r="A51" s="29"/>
    </row>
    <row r="52" spans="1:2" x14ac:dyDescent="0.25">
      <c r="A52" s="29"/>
    </row>
    <row r="53" spans="1:2" x14ac:dyDescent="0.25">
      <c r="A53" s="29"/>
    </row>
    <row r="54" spans="1:2" x14ac:dyDescent="0.25">
      <c r="A54" s="29"/>
    </row>
    <row r="55" spans="1:2" x14ac:dyDescent="0.25">
      <c r="A55" s="29"/>
      <c r="B55" s="30"/>
    </row>
    <row r="56" spans="1:2" x14ac:dyDescent="0.25">
      <c r="A56" s="29"/>
      <c r="B56" s="30"/>
    </row>
    <row r="57" spans="1:2" x14ac:dyDescent="0.25">
      <c r="A57" s="29"/>
    </row>
    <row r="58" spans="1:2" x14ac:dyDescent="0.25">
      <c r="A58" s="29"/>
      <c r="B58" s="30"/>
    </row>
    <row r="59" spans="1:2" x14ac:dyDescent="0.25">
      <c r="A59" s="29"/>
    </row>
    <row r="60" spans="1:2" x14ac:dyDescent="0.25">
      <c r="A60" s="29"/>
    </row>
    <row r="61" spans="1:2" x14ac:dyDescent="0.25">
      <c r="A61" s="29"/>
      <c r="B61" s="30"/>
    </row>
    <row r="62" spans="1:2" x14ac:dyDescent="0.25">
      <c r="A62" s="29"/>
    </row>
    <row r="63" spans="1:2" x14ac:dyDescent="0.25">
      <c r="A63" s="29"/>
    </row>
    <row r="64" spans="1:2" x14ac:dyDescent="0.25">
      <c r="A64" s="29"/>
      <c r="B64" s="30"/>
    </row>
    <row r="65" spans="1:2" x14ac:dyDescent="0.25">
      <c r="A65" s="29"/>
    </row>
    <row r="66" spans="1:2" x14ac:dyDescent="0.25">
      <c r="A66" s="29"/>
      <c r="B66" s="30"/>
    </row>
    <row r="67" spans="1:2" x14ac:dyDescent="0.25">
      <c r="A67" s="29"/>
    </row>
    <row r="68" spans="1:2" x14ac:dyDescent="0.25">
      <c r="A68" s="29"/>
      <c r="B68" s="30"/>
    </row>
    <row r="69" spans="1:2" x14ac:dyDescent="0.25">
      <c r="A69" s="29"/>
      <c r="B69" s="30"/>
    </row>
    <row r="70" spans="1:2" x14ac:dyDescent="0.25">
      <c r="A70" s="29"/>
      <c r="B70" s="30"/>
    </row>
    <row r="71" spans="1:2" x14ac:dyDescent="0.25">
      <c r="A71" s="29"/>
      <c r="B71" s="30"/>
    </row>
    <row r="72" spans="1:2" x14ac:dyDescent="0.25">
      <c r="A72" s="29"/>
    </row>
    <row r="73" spans="1:2" x14ac:dyDescent="0.25">
      <c r="A73" s="29"/>
    </row>
    <row r="74" spans="1:2" x14ac:dyDescent="0.25">
      <c r="A74" s="29"/>
      <c r="B74" s="30"/>
    </row>
    <row r="75" spans="1:2" x14ac:dyDescent="0.25">
      <c r="A75" s="29"/>
    </row>
    <row r="76" spans="1:2" x14ac:dyDescent="0.25">
      <c r="A76" s="29"/>
    </row>
    <row r="77" spans="1:2" x14ac:dyDescent="0.25">
      <c r="A77" s="29"/>
      <c r="B77" s="30"/>
    </row>
    <row r="78" spans="1:2" x14ac:dyDescent="0.25">
      <c r="A78" s="29"/>
    </row>
    <row r="79" spans="1:2" x14ac:dyDescent="0.25">
      <c r="A79" s="29"/>
    </row>
    <row r="80" spans="1:2" x14ac:dyDescent="0.25">
      <c r="A80" s="29"/>
    </row>
    <row r="81" spans="1:2" x14ac:dyDescent="0.25">
      <c r="A81" s="29"/>
    </row>
    <row r="82" spans="1:2" x14ac:dyDescent="0.25">
      <c r="A82" s="29"/>
    </row>
    <row r="83" spans="1:2" x14ac:dyDescent="0.25">
      <c r="A83" s="29"/>
      <c r="B83" s="30"/>
    </row>
    <row r="84" spans="1:2" x14ac:dyDescent="0.25">
      <c r="A84" s="29"/>
      <c r="B84" s="30"/>
    </row>
    <row r="85" spans="1:2" x14ac:dyDescent="0.25">
      <c r="A85" s="29"/>
    </row>
    <row r="86" spans="1:2" x14ac:dyDescent="0.25">
      <c r="A86" s="29"/>
      <c r="B86" s="30"/>
    </row>
    <row r="87" spans="1:2" x14ac:dyDescent="0.25">
      <c r="A87" s="29"/>
    </row>
    <row r="88" spans="1:2" x14ac:dyDescent="0.25">
      <c r="A88" s="29"/>
    </row>
    <row r="89" spans="1:2" x14ac:dyDescent="0.25">
      <c r="A89" s="29"/>
    </row>
    <row r="90" spans="1:2" x14ac:dyDescent="0.25">
      <c r="A90" s="29"/>
    </row>
    <row r="91" spans="1:2" x14ac:dyDescent="0.25">
      <c r="A91" s="29"/>
    </row>
    <row r="92" spans="1:2" x14ac:dyDescent="0.25">
      <c r="A92" s="29"/>
    </row>
    <row r="93" spans="1:2" x14ac:dyDescent="0.25">
      <c r="A93" s="29"/>
      <c r="B93" s="30"/>
    </row>
    <row r="94" spans="1:2" x14ac:dyDescent="0.25">
      <c r="A94" s="29"/>
      <c r="B94" s="30"/>
    </row>
    <row r="95" spans="1:2" x14ac:dyDescent="0.25">
      <c r="A95" s="29"/>
      <c r="B95" s="30"/>
    </row>
    <row r="96" spans="1:2" x14ac:dyDescent="0.25">
      <c r="A96" s="29"/>
    </row>
    <row r="97" spans="1:2" x14ac:dyDescent="0.25">
      <c r="A97" s="29"/>
    </row>
    <row r="98" spans="1:2" x14ac:dyDescent="0.25">
      <c r="A98" s="29"/>
    </row>
    <row r="99" spans="1:2" x14ac:dyDescent="0.25">
      <c r="A99" s="29"/>
      <c r="B99" s="30"/>
    </row>
    <row r="100" spans="1:2" x14ac:dyDescent="0.25">
      <c r="A100" s="29"/>
    </row>
    <row r="101" spans="1:2" x14ac:dyDescent="0.25">
      <c r="A101" s="29"/>
    </row>
    <row r="102" spans="1:2" x14ac:dyDescent="0.25">
      <c r="A102" s="29"/>
      <c r="B102" s="30"/>
    </row>
    <row r="103" spans="1:2" x14ac:dyDescent="0.25">
      <c r="A103" s="29"/>
      <c r="B103" s="30"/>
    </row>
    <row r="104" spans="1:2" x14ac:dyDescent="0.25">
      <c r="A104" s="29"/>
      <c r="B104" s="30"/>
    </row>
    <row r="105" spans="1:2" x14ac:dyDescent="0.25">
      <c r="A105" s="29"/>
    </row>
    <row r="106" spans="1:2" x14ac:dyDescent="0.25">
      <c r="A106" s="29"/>
    </row>
    <row r="107" spans="1:2" x14ac:dyDescent="0.25">
      <c r="A107" s="29"/>
      <c r="B107" s="30"/>
    </row>
    <row r="108" spans="1:2" x14ac:dyDescent="0.25">
      <c r="A108" s="29"/>
      <c r="B108" s="30"/>
    </row>
    <row r="109" spans="1:2" x14ac:dyDescent="0.25">
      <c r="A109" s="29"/>
      <c r="B109" s="30"/>
    </row>
    <row r="110" spans="1:2" x14ac:dyDescent="0.25">
      <c r="A110" s="29"/>
    </row>
    <row r="111" spans="1:2" x14ac:dyDescent="0.25">
      <c r="A111" s="29"/>
    </row>
    <row r="112" spans="1:2" x14ac:dyDescent="0.25">
      <c r="A112" s="29"/>
    </row>
    <row r="113" spans="1:2" x14ac:dyDescent="0.25">
      <c r="A113" s="29"/>
    </row>
    <row r="114" spans="1:2" x14ac:dyDescent="0.25">
      <c r="A114" s="29"/>
    </row>
    <row r="115" spans="1:2" x14ac:dyDescent="0.25">
      <c r="A115" s="29"/>
    </row>
    <row r="116" spans="1:2" x14ac:dyDescent="0.25">
      <c r="A116" s="29"/>
    </row>
    <row r="117" spans="1:2" x14ac:dyDescent="0.25">
      <c r="A117" s="29"/>
    </row>
    <row r="118" spans="1:2" x14ac:dyDescent="0.25">
      <c r="A118" s="29"/>
    </row>
    <row r="119" spans="1:2" x14ac:dyDescent="0.25">
      <c r="A119" s="29"/>
      <c r="B119" s="30"/>
    </row>
    <row r="120" spans="1:2" x14ac:dyDescent="0.25">
      <c r="A120" s="29"/>
      <c r="B120" s="30"/>
    </row>
    <row r="121" spans="1:2" x14ac:dyDescent="0.25">
      <c r="A121" s="29"/>
      <c r="B121" s="30"/>
    </row>
    <row r="122" spans="1:2" x14ac:dyDescent="0.25">
      <c r="A122" s="29"/>
    </row>
    <row r="123" spans="1:2" x14ac:dyDescent="0.25">
      <c r="A123" s="29"/>
    </row>
    <row r="124" spans="1:2" x14ac:dyDescent="0.25">
      <c r="A124" s="29"/>
    </row>
    <row r="125" spans="1:2" x14ac:dyDescent="0.25">
      <c r="A125" s="29"/>
    </row>
    <row r="126" spans="1:2" x14ac:dyDescent="0.25">
      <c r="A126" s="29"/>
    </row>
    <row r="127" spans="1:2" x14ac:dyDescent="0.25">
      <c r="A127" s="29"/>
    </row>
    <row r="128" spans="1:2" x14ac:dyDescent="0.25">
      <c r="A128" s="29"/>
    </row>
    <row r="129" spans="1:1" x14ac:dyDescent="0.25">
      <c r="A129" s="29"/>
    </row>
    <row r="130" spans="1:1" x14ac:dyDescent="0.25">
      <c r="A130" s="29"/>
    </row>
    <row r="131" spans="1:1" x14ac:dyDescent="0.25">
      <c r="A131" s="29"/>
    </row>
    <row r="132" spans="1:1" x14ac:dyDescent="0.25">
      <c r="A132" s="29"/>
    </row>
    <row r="133" spans="1:1" x14ac:dyDescent="0.25">
      <c r="A133" s="29"/>
    </row>
    <row r="134" spans="1:1" x14ac:dyDescent="0.25">
      <c r="A134" s="29"/>
    </row>
    <row r="135" spans="1:1" x14ac:dyDescent="0.25">
      <c r="A135" s="29"/>
    </row>
    <row r="136" spans="1:1" x14ac:dyDescent="0.25">
      <c r="A136" s="29"/>
    </row>
    <row r="137" spans="1:1" x14ac:dyDescent="0.25">
      <c r="A137" s="29"/>
    </row>
    <row r="138" spans="1:1" x14ac:dyDescent="0.25">
      <c r="A138" s="29"/>
    </row>
    <row r="139" spans="1:1" x14ac:dyDescent="0.25">
      <c r="A139" s="29"/>
    </row>
    <row r="140" spans="1:1" x14ac:dyDescent="0.25">
      <c r="A140" s="29"/>
    </row>
    <row r="141" spans="1:1" x14ac:dyDescent="0.25">
      <c r="A141" s="29"/>
    </row>
    <row r="142" spans="1:1" x14ac:dyDescent="0.25">
      <c r="A142" s="29"/>
    </row>
    <row r="143" spans="1:1" x14ac:dyDescent="0.25">
      <c r="A143" s="29"/>
    </row>
    <row r="144" spans="1:1" x14ac:dyDescent="0.25">
      <c r="A144" s="29"/>
    </row>
    <row r="145" spans="1:1" x14ac:dyDescent="0.25">
      <c r="A145" s="29"/>
    </row>
    <row r="146" spans="1:1" x14ac:dyDescent="0.25">
      <c r="A146" s="29"/>
    </row>
    <row r="147" spans="1:1" x14ac:dyDescent="0.25">
      <c r="A147" s="29"/>
    </row>
    <row r="148" spans="1:1" x14ac:dyDescent="0.25">
      <c r="A148" s="29"/>
    </row>
    <row r="149" spans="1:1" x14ac:dyDescent="0.25">
      <c r="A149" s="29"/>
    </row>
    <row r="150" spans="1:1" x14ac:dyDescent="0.25">
      <c r="A150" s="29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2817-BFD9-9D4F-AF46-4ADF5C5C34DB}">
  <sheetPr codeName="Sheet16"/>
  <dimension ref="A1:AA150"/>
  <sheetViews>
    <sheetView zoomScale="79" zoomScaleNormal="79" workbookViewId="0">
      <selection activeCell="O6" sqref="O6"/>
    </sheetView>
  </sheetViews>
  <sheetFormatPr baseColWidth="10" defaultColWidth="11" defaultRowHeight="19" x14ac:dyDescent="0.25"/>
  <cols>
    <col min="1" max="1" width="9.33203125" style="19" bestFit="1" customWidth="1"/>
    <col min="2" max="2" width="8.33203125" style="19" bestFit="1" customWidth="1"/>
    <col min="3" max="3" width="11.1640625" style="19" bestFit="1" customWidth="1"/>
    <col min="4" max="4" width="10.5" style="19" bestFit="1" customWidth="1"/>
    <col min="5" max="6" width="7.6640625" style="19" bestFit="1" customWidth="1"/>
    <col min="7" max="7" width="6.1640625" style="19" customWidth="1"/>
    <col min="8" max="8" width="8.33203125" style="19" bestFit="1" customWidth="1"/>
    <col min="9" max="9" width="6.83203125" style="19" bestFit="1" customWidth="1"/>
    <col min="10" max="10" width="11.1640625" style="19" bestFit="1" customWidth="1"/>
    <col min="11" max="11" width="10.5" style="19" bestFit="1" customWidth="1"/>
    <col min="12" max="13" width="7.6640625" style="19" bestFit="1" customWidth="1"/>
    <col min="14" max="14" width="4.5" style="19" customWidth="1"/>
    <col min="15" max="15" width="8.33203125" style="19" bestFit="1" customWidth="1"/>
    <col min="16" max="16" width="6.83203125" style="19" bestFit="1" customWidth="1"/>
    <col min="17" max="17" width="11.1640625" style="19" bestFit="1" customWidth="1"/>
    <col min="18" max="18" width="10.5" style="19" bestFit="1" customWidth="1"/>
    <col min="19" max="20" width="7.6640625" style="19" bestFit="1" customWidth="1"/>
    <col min="21" max="21" width="5" style="19" customWidth="1"/>
    <col min="22" max="22" width="8.33203125" style="19" bestFit="1" customWidth="1"/>
    <col min="23" max="23" width="6.83203125" style="19" bestFit="1" customWidth="1"/>
    <col min="24" max="24" width="11.1640625" style="19" bestFit="1" customWidth="1"/>
    <col min="25" max="25" width="10.5" style="19" bestFit="1" customWidth="1"/>
    <col min="26" max="27" width="7.6640625" style="19" bestFit="1" customWidth="1"/>
    <col min="28" max="16384" width="11" style="19"/>
  </cols>
  <sheetData>
    <row r="1" spans="1:27" ht="22" x14ac:dyDescent="0.3">
      <c r="A1" s="18" t="s">
        <v>42</v>
      </c>
      <c r="B1" s="18" t="s">
        <v>43</v>
      </c>
      <c r="C1" s="18" t="s">
        <v>45</v>
      </c>
      <c r="D1" s="18" t="s">
        <v>37</v>
      </c>
      <c r="E1" s="18"/>
      <c r="G1" s="20" t="s">
        <v>41</v>
      </c>
      <c r="H1" s="20"/>
      <c r="K1" s="33" t="str" cm="1">
        <f t="array" aca="1" ref="K1" ca="1">_xlfn.TEXTAFTER(CELL("filename",A1),"]")</f>
        <v>NVDA</v>
      </c>
      <c r="O1" s="34" t="s">
        <v>42</v>
      </c>
      <c r="P1" s="34" t="s">
        <v>43</v>
      </c>
      <c r="Q1" s="34" t="s">
        <v>45</v>
      </c>
      <c r="R1" s="34" t="s">
        <v>37</v>
      </c>
      <c r="S1" s="34"/>
    </row>
    <row r="2" spans="1:27" x14ac:dyDescent="0.25">
      <c r="A2" s="18">
        <f ca="1">VLOOKUP($K$1,StockList!$B$1:$P$20,4,FALSE)</f>
        <v>227</v>
      </c>
      <c r="B2" s="18">
        <f ca="1">VLOOKUP($K$1,StockList!$B$1:$P$20,7,FALSE)</f>
        <v>230</v>
      </c>
      <c r="C2" s="18">
        <f ca="1">VLOOKUP($K$1,StockList!$B$1:$P$20,8,FALSE)</f>
        <v>222</v>
      </c>
      <c r="D2" s="18">
        <f ca="1">VLOOKUP($K$1,StockList!$B$1:$P$20,14,FALSE)</f>
        <v>0.2</v>
      </c>
      <c r="E2" s="18"/>
      <c r="G2" s="20"/>
      <c r="H2" s="20"/>
      <c r="O2" s="34">
        <f ca="1">VLOOKUP($K$1,StockList!$B$1:$P$20,9,FALSE)</f>
        <v>227</v>
      </c>
      <c r="P2" s="34">
        <f ca="1">VLOOKUP($K$1,StockList!$B$1:$P$20,12,FALSE)</f>
        <v>230</v>
      </c>
      <c r="Q2" s="34">
        <f ca="1">VLOOKUP($K$1,StockList!$B$1:$P$20,13,FALSE)</f>
        <v>222</v>
      </c>
      <c r="R2" s="34">
        <f ca="1">VLOOKUP($K$1,StockList!$B$1:$P$20,14,FALSE)</f>
        <v>0.2</v>
      </c>
      <c r="S2" s="34"/>
    </row>
    <row r="4" spans="1:27" x14ac:dyDescent="0.25">
      <c r="B4" s="23" t="s">
        <v>50</v>
      </c>
      <c r="C4" s="23" t="s">
        <v>22</v>
      </c>
      <c r="D4" s="23" t="s">
        <v>23</v>
      </c>
      <c r="E4" s="23" t="s">
        <v>51</v>
      </c>
      <c r="I4" s="20" t="s">
        <v>50</v>
      </c>
      <c r="J4" s="20" t="s">
        <v>22</v>
      </c>
      <c r="K4" s="20" t="s">
        <v>23</v>
      </c>
      <c r="L4" s="20" t="s">
        <v>51</v>
      </c>
      <c r="O4" s="35"/>
      <c r="P4" s="21" t="s">
        <v>50</v>
      </c>
      <c r="Q4" s="21" t="s">
        <v>22</v>
      </c>
      <c r="R4" s="21" t="s">
        <v>23</v>
      </c>
      <c r="S4" s="19" t="s">
        <v>51</v>
      </c>
      <c r="W4" s="22" t="s">
        <v>50</v>
      </c>
      <c r="X4" s="22" t="s">
        <v>22</v>
      </c>
      <c r="Y4" s="22" t="s">
        <v>23</v>
      </c>
      <c r="Z4" s="22" t="s">
        <v>51</v>
      </c>
    </row>
    <row r="5" spans="1:27" x14ac:dyDescent="0.25">
      <c r="A5" s="19" t="s">
        <v>57</v>
      </c>
      <c r="B5" s="23">
        <f ca="1">VLOOKUP($K$1,StockList!$B$1:$P$20,5,FALSE)</f>
        <v>235</v>
      </c>
      <c r="C5" s="23">
        <f>IF(G2=0,StockList!D2,NVDA!G2)</f>
        <v>0.75</v>
      </c>
      <c r="D5" s="23">
        <f ca="1">VLOOKUP($K$1,StockList!$B$1:$P$20,6,FALSE)</f>
        <v>60.67</v>
      </c>
      <c r="E5" s="23"/>
      <c r="H5" s="19" t="s">
        <v>57</v>
      </c>
      <c r="I5" s="20">
        <f ca="1">B5</f>
        <v>235</v>
      </c>
      <c r="J5" s="20">
        <f>C5+0.1</f>
        <v>0.85</v>
      </c>
      <c r="K5" s="20">
        <f ca="1">D5</f>
        <v>60.67</v>
      </c>
      <c r="L5" s="20"/>
      <c r="O5" s="35" t="s">
        <v>58</v>
      </c>
      <c r="P5" s="21">
        <f ca="1">VLOOKUP($K$1,StockList!$B$1:$P$20,10,FALSE)</f>
        <v>235</v>
      </c>
      <c r="Q5" s="21">
        <f>C5</f>
        <v>0.75</v>
      </c>
      <c r="R5" s="21">
        <f ca="1">VLOOKUP($K$1,StockList!$B$1:$P$20,11,FALSE)</f>
        <v>60.67</v>
      </c>
      <c r="V5" s="19" t="s">
        <v>58</v>
      </c>
      <c r="W5" s="22">
        <f ca="1">B5</f>
        <v>235</v>
      </c>
      <c r="X5" s="22">
        <f>C5+0.1</f>
        <v>0.85</v>
      </c>
      <c r="Y5" s="22">
        <f ca="1">D5</f>
        <v>60.67</v>
      </c>
      <c r="Z5" s="22"/>
    </row>
    <row r="8" spans="1:27" x14ac:dyDescent="0.25">
      <c r="A8" s="18" t="s">
        <v>47</v>
      </c>
      <c r="B8" s="18" t="s">
        <v>24</v>
      </c>
      <c r="C8" s="18" t="s">
        <v>25</v>
      </c>
      <c r="D8" s="18" t="s">
        <v>26</v>
      </c>
      <c r="E8" s="18" t="s">
        <v>48</v>
      </c>
      <c r="F8" s="18" t="s">
        <v>49</v>
      </c>
      <c r="H8" s="20" t="s">
        <v>47</v>
      </c>
      <c r="I8" s="20" t="s">
        <v>24</v>
      </c>
      <c r="J8" s="20" t="s">
        <v>25</v>
      </c>
      <c r="K8" s="20" t="s">
        <v>26</v>
      </c>
      <c r="L8" s="20" t="s">
        <v>48</v>
      </c>
      <c r="M8" s="20" t="s">
        <v>49</v>
      </c>
      <c r="O8" s="24" t="s">
        <v>47</v>
      </c>
      <c r="P8" s="24" t="s">
        <v>24</v>
      </c>
      <c r="Q8" s="24" t="s">
        <v>25</v>
      </c>
      <c r="R8" s="24" t="s">
        <v>26</v>
      </c>
      <c r="S8" s="24" t="s">
        <v>48</v>
      </c>
      <c r="T8" s="24" t="s">
        <v>49</v>
      </c>
      <c r="V8" s="22" t="s">
        <v>47</v>
      </c>
      <c r="W8" s="22" t="s">
        <v>24</v>
      </c>
      <c r="X8" s="22" t="s">
        <v>25</v>
      </c>
      <c r="Y8" s="22" t="s">
        <v>26</v>
      </c>
      <c r="Z8" s="22" t="s">
        <v>48</v>
      </c>
      <c r="AA8" s="22" t="s">
        <v>49</v>
      </c>
    </row>
    <row r="9" spans="1:27" x14ac:dyDescent="0.25">
      <c r="A9" s="27">
        <v>0</v>
      </c>
      <c r="B9" s="27">
        <v>305</v>
      </c>
      <c r="C9" s="27">
        <v>0.35</v>
      </c>
      <c r="D9" s="27">
        <v>4.3099999999999996</v>
      </c>
      <c r="E9" s="27">
        <v>0</v>
      </c>
      <c r="F9" s="27">
        <v>0</v>
      </c>
      <c r="H9" s="28">
        <v>0</v>
      </c>
      <c r="I9" s="28">
        <v>305</v>
      </c>
      <c r="J9" s="28">
        <v>0.41</v>
      </c>
      <c r="K9" s="28">
        <v>4.37</v>
      </c>
      <c r="L9" s="28">
        <v>0</v>
      </c>
      <c r="M9" s="28">
        <v>0</v>
      </c>
      <c r="O9" s="25">
        <v>0</v>
      </c>
      <c r="P9" s="25">
        <v>301</v>
      </c>
      <c r="Q9" s="25">
        <v>2.04</v>
      </c>
      <c r="R9" s="25">
        <v>1</v>
      </c>
      <c r="S9" s="25">
        <v>0</v>
      </c>
      <c r="T9" s="25">
        <v>0</v>
      </c>
      <c r="V9" s="26">
        <v>0</v>
      </c>
      <c r="W9" s="26">
        <v>301</v>
      </c>
      <c r="X9" s="26">
        <v>0.05</v>
      </c>
      <c r="Y9" s="26">
        <v>8.01</v>
      </c>
      <c r="Z9" s="26">
        <v>0</v>
      </c>
      <c r="AA9" s="26">
        <v>0</v>
      </c>
    </row>
    <row r="10" spans="1:27" x14ac:dyDescent="0.25">
      <c r="A10" s="27">
        <v>1.28</v>
      </c>
      <c r="B10" s="27">
        <v>308.89999999999998</v>
      </c>
      <c r="C10" s="27">
        <v>1.58</v>
      </c>
      <c r="D10" s="27">
        <v>1.65</v>
      </c>
      <c r="E10" s="27">
        <v>358.94</v>
      </c>
      <c r="F10" s="27">
        <v>-61.74</v>
      </c>
      <c r="H10" s="28">
        <v>1.28</v>
      </c>
      <c r="I10" s="28">
        <v>308.89999999999998</v>
      </c>
      <c r="J10" s="28">
        <v>1.69</v>
      </c>
      <c r="K10" s="28">
        <v>1.75</v>
      </c>
      <c r="L10" s="28">
        <v>310.62</v>
      </c>
      <c r="M10" s="28">
        <v>-59.95</v>
      </c>
      <c r="O10" s="25">
        <v>2.62</v>
      </c>
      <c r="P10" s="25">
        <v>308.89999999999998</v>
      </c>
      <c r="Q10" s="25">
        <v>8.94</v>
      </c>
      <c r="R10" s="25">
        <v>0.01</v>
      </c>
      <c r="S10" s="25">
        <v>338.85</v>
      </c>
      <c r="T10" s="25">
        <v>-99.01</v>
      </c>
      <c r="V10" s="26">
        <v>2.62</v>
      </c>
      <c r="W10" s="26">
        <v>308.89999999999998</v>
      </c>
      <c r="X10" s="26">
        <v>1.69</v>
      </c>
      <c r="Y10" s="26">
        <v>1.75</v>
      </c>
      <c r="Z10" s="26">
        <v>3221.72</v>
      </c>
      <c r="AA10" s="26">
        <v>-78.14</v>
      </c>
    </row>
    <row r="11" spans="1:27" x14ac:dyDescent="0.25">
      <c r="A11" s="27">
        <v>0.49</v>
      </c>
      <c r="B11" s="27">
        <v>306.5</v>
      </c>
      <c r="C11" s="27">
        <v>0.67</v>
      </c>
      <c r="D11" s="27">
        <v>3.13</v>
      </c>
      <c r="E11" s="27">
        <v>93.78</v>
      </c>
      <c r="F11" s="27">
        <v>-27.29</v>
      </c>
      <c r="H11" s="28">
        <v>0.49</v>
      </c>
      <c r="I11" s="28">
        <v>306.5</v>
      </c>
      <c r="J11" s="28">
        <v>0.76</v>
      </c>
      <c r="K11" s="28">
        <v>3.22</v>
      </c>
      <c r="L11" s="28">
        <v>83.95</v>
      </c>
      <c r="M11" s="28">
        <v>-26.4</v>
      </c>
      <c r="O11" s="25">
        <v>1.83</v>
      </c>
      <c r="P11" s="25">
        <v>306.5</v>
      </c>
      <c r="Q11" s="25">
        <v>6.59</v>
      </c>
      <c r="R11" s="25">
        <v>0.06</v>
      </c>
      <c r="S11" s="25">
        <v>223.42</v>
      </c>
      <c r="T11" s="25">
        <v>-94.26</v>
      </c>
      <c r="V11" s="26">
        <v>1.83</v>
      </c>
      <c r="W11" s="26">
        <v>306.5</v>
      </c>
      <c r="X11" s="26">
        <v>0.76</v>
      </c>
      <c r="Y11" s="26">
        <v>3.22</v>
      </c>
      <c r="Z11" s="26">
        <v>1388.05</v>
      </c>
      <c r="AA11" s="26">
        <v>-59.83</v>
      </c>
    </row>
    <row r="12" spans="1:27" x14ac:dyDescent="0.25">
      <c r="A12" s="18">
        <v>0.66</v>
      </c>
      <c r="B12" s="18">
        <v>307</v>
      </c>
      <c r="C12" s="18">
        <v>0.82</v>
      </c>
      <c r="D12" s="18">
        <v>2.78</v>
      </c>
      <c r="E12" s="18">
        <v>136.37</v>
      </c>
      <c r="F12" s="18">
        <v>-35.479999999999997</v>
      </c>
      <c r="H12" s="20">
        <v>0.66</v>
      </c>
      <c r="I12" s="20">
        <v>307</v>
      </c>
      <c r="J12" s="20">
        <v>0.91</v>
      </c>
      <c r="K12" s="20">
        <v>2.87</v>
      </c>
      <c r="L12" s="20">
        <v>121.12</v>
      </c>
      <c r="M12" s="20">
        <v>-34.340000000000003</v>
      </c>
      <c r="O12" s="24">
        <v>0.66</v>
      </c>
      <c r="P12" s="24">
        <v>303</v>
      </c>
      <c r="Q12" s="24">
        <v>3.46</v>
      </c>
      <c r="R12" s="24">
        <v>0.42</v>
      </c>
      <c r="S12" s="24">
        <v>69.650000000000006</v>
      </c>
      <c r="T12" s="24">
        <v>-57.8</v>
      </c>
      <c r="V12" s="22">
        <v>0.66</v>
      </c>
      <c r="W12" s="22">
        <v>303</v>
      </c>
      <c r="X12" s="22">
        <v>0.16</v>
      </c>
      <c r="Y12" s="22">
        <v>6.12</v>
      </c>
      <c r="Z12" s="22">
        <v>210.91</v>
      </c>
      <c r="AA12" s="22">
        <v>-23.62</v>
      </c>
    </row>
    <row r="13" spans="1:27" x14ac:dyDescent="0.25">
      <c r="A13" s="18">
        <v>0.59</v>
      </c>
      <c r="B13" s="18">
        <v>306.8</v>
      </c>
      <c r="C13" s="18">
        <v>0.75</v>
      </c>
      <c r="D13" s="18">
        <v>2.92</v>
      </c>
      <c r="E13" s="18">
        <v>118.58</v>
      </c>
      <c r="F13" s="18">
        <v>-32.270000000000003</v>
      </c>
      <c r="H13" s="20">
        <v>0.59</v>
      </c>
      <c r="I13" s="20">
        <v>306.8</v>
      </c>
      <c r="J13" s="20">
        <v>0.85</v>
      </c>
      <c r="K13" s="20">
        <v>3.01</v>
      </c>
      <c r="L13" s="20">
        <v>105.65</v>
      </c>
      <c r="M13" s="20">
        <v>-31.22</v>
      </c>
      <c r="O13" s="24">
        <v>0.6</v>
      </c>
      <c r="P13" s="24">
        <v>302.8</v>
      </c>
      <c r="Q13" s="24">
        <v>3.3</v>
      </c>
      <c r="R13" s="24">
        <v>0.47</v>
      </c>
      <c r="S13" s="24">
        <v>61.91</v>
      </c>
      <c r="T13" s="24">
        <v>-53.6</v>
      </c>
      <c r="V13" s="22">
        <v>0.6</v>
      </c>
      <c r="W13" s="22">
        <v>302.8</v>
      </c>
      <c r="X13" s="22">
        <v>0.14000000000000001</v>
      </c>
      <c r="Y13" s="22">
        <v>6.3</v>
      </c>
      <c r="Z13" s="22">
        <v>179.87</v>
      </c>
      <c r="AA13" s="22">
        <v>-21.33</v>
      </c>
    </row>
    <row r="14" spans="1:27" x14ac:dyDescent="0.25">
      <c r="A14" s="18">
        <v>0.52</v>
      </c>
      <c r="B14" s="18">
        <v>306.60000000000002</v>
      </c>
      <c r="C14" s="18">
        <v>0.7</v>
      </c>
      <c r="D14" s="18">
        <v>3.06</v>
      </c>
      <c r="E14" s="18">
        <v>101.8</v>
      </c>
      <c r="F14" s="18">
        <v>-28.97</v>
      </c>
      <c r="H14" s="20">
        <v>0.52</v>
      </c>
      <c r="I14" s="20">
        <v>306.60000000000002</v>
      </c>
      <c r="J14" s="20">
        <v>0.79</v>
      </c>
      <c r="K14" s="20">
        <v>3.15</v>
      </c>
      <c r="L14" s="20">
        <v>90.99</v>
      </c>
      <c r="M14" s="20">
        <v>-28.03</v>
      </c>
      <c r="O14" s="24">
        <v>0.53</v>
      </c>
      <c r="P14" s="24">
        <v>302.60000000000002</v>
      </c>
      <c r="Q14" s="24">
        <v>3.15</v>
      </c>
      <c r="R14" s="24">
        <v>0.51</v>
      </c>
      <c r="S14" s="24">
        <v>54.32</v>
      </c>
      <c r="T14" s="24">
        <v>-49.09</v>
      </c>
      <c r="V14" s="22">
        <v>0.53</v>
      </c>
      <c r="W14" s="22">
        <v>302.60000000000002</v>
      </c>
      <c r="X14" s="22">
        <v>0.13</v>
      </c>
      <c r="Y14" s="22">
        <v>6.49</v>
      </c>
      <c r="Z14" s="22">
        <v>151.47</v>
      </c>
      <c r="AA14" s="22">
        <v>-19.010000000000002</v>
      </c>
    </row>
    <row r="15" spans="1:27" x14ac:dyDescent="0.25">
      <c r="A15" s="18">
        <v>0.46</v>
      </c>
      <c r="B15" s="18">
        <v>306.39999999999998</v>
      </c>
      <c r="C15" s="18">
        <v>0.64</v>
      </c>
      <c r="D15" s="18">
        <v>3.21</v>
      </c>
      <c r="E15" s="18">
        <v>85.99</v>
      </c>
      <c r="F15" s="18">
        <v>-25.6</v>
      </c>
      <c r="H15" s="20">
        <v>0.46</v>
      </c>
      <c r="I15" s="20">
        <v>306.39999999999998</v>
      </c>
      <c r="J15" s="20">
        <v>0.73</v>
      </c>
      <c r="K15" s="20">
        <v>3.29</v>
      </c>
      <c r="L15" s="20">
        <v>77.099999999999994</v>
      </c>
      <c r="M15" s="20">
        <v>-24.76</v>
      </c>
      <c r="O15" s="24">
        <v>0.47</v>
      </c>
      <c r="P15" s="24">
        <v>302.39999999999998</v>
      </c>
      <c r="Q15" s="24">
        <v>2.99</v>
      </c>
      <c r="R15" s="24">
        <v>0.56000000000000005</v>
      </c>
      <c r="S15" s="24">
        <v>46.9</v>
      </c>
      <c r="T15" s="24">
        <v>-44.24</v>
      </c>
      <c r="V15" s="22">
        <v>0.47</v>
      </c>
      <c r="W15" s="22">
        <v>302.39999999999998</v>
      </c>
      <c r="X15" s="22">
        <v>0.11</v>
      </c>
      <c r="Y15" s="22">
        <v>6.68</v>
      </c>
      <c r="Z15" s="22">
        <v>125.55</v>
      </c>
      <c r="AA15" s="22">
        <v>-16.68</v>
      </c>
    </row>
    <row r="16" spans="1:27" x14ac:dyDescent="0.25">
      <c r="A16" s="18">
        <v>0.39</v>
      </c>
      <c r="B16" s="18">
        <v>306.2</v>
      </c>
      <c r="C16" s="18">
        <v>0.59</v>
      </c>
      <c r="D16" s="18">
        <v>3.36</v>
      </c>
      <c r="E16" s="18">
        <v>71.12</v>
      </c>
      <c r="F16" s="18">
        <v>-22.15</v>
      </c>
      <c r="H16" s="20">
        <v>0.39</v>
      </c>
      <c r="I16" s="20">
        <v>306.2</v>
      </c>
      <c r="J16" s="20">
        <v>0.68</v>
      </c>
      <c r="K16" s="20">
        <v>3.44</v>
      </c>
      <c r="L16" s="20">
        <v>63.98</v>
      </c>
      <c r="M16" s="20">
        <v>-21.42</v>
      </c>
      <c r="O16" s="24">
        <v>0.4</v>
      </c>
      <c r="P16" s="24">
        <v>302.2</v>
      </c>
      <c r="Q16" s="24">
        <v>2.85</v>
      </c>
      <c r="R16" s="24">
        <v>0.61</v>
      </c>
      <c r="S16" s="24">
        <v>39.64</v>
      </c>
      <c r="T16" s="24">
        <v>-39.04</v>
      </c>
      <c r="V16" s="22">
        <v>0.4</v>
      </c>
      <c r="W16" s="22">
        <v>302.2</v>
      </c>
      <c r="X16" s="22">
        <v>0.1</v>
      </c>
      <c r="Y16" s="22">
        <v>6.86</v>
      </c>
      <c r="Z16" s="22">
        <v>101.93</v>
      </c>
      <c r="AA16" s="22">
        <v>-14.33</v>
      </c>
    </row>
    <row r="17" spans="1:27" x14ac:dyDescent="0.25">
      <c r="A17" s="18">
        <v>0.33</v>
      </c>
      <c r="B17" s="18">
        <v>306</v>
      </c>
      <c r="C17" s="18">
        <v>0.54</v>
      </c>
      <c r="D17" s="18">
        <v>3.51</v>
      </c>
      <c r="E17" s="18">
        <v>57.17</v>
      </c>
      <c r="F17" s="18">
        <v>-18.62</v>
      </c>
      <c r="H17" s="20">
        <v>0.33</v>
      </c>
      <c r="I17" s="20">
        <v>306</v>
      </c>
      <c r="J17" s="20">
        <v>0.62</v>
      </c>
      <c r="K17" s="20">
        <v>3.58</v>
      </c>
      <c r="L17" s="20">
        <v>51.6</v>
      </c>
      <c r="M17" s="20">
        <v>-18.010000000000002</v>
      </c>
      <c r="O17" s="24">
        <v>0.33</v>
      </c>
      <c r="P17" s="24">
        <v>302</v>
      </c>
      <c r="Q17" s="24">
        <v>2.7</v>
      </c>
      <c r="R17" s="24">
        <v>0.67</v>
      </c>
      <c r="S17" s="24">
        <v>32.57</v>
      </c>
      <c r="T17" s="24">
        <v>-33.49</v>
      </c>
      <c r="V17" s="22">
        <v>0.33</v>
      </c>
      <c r="W17" s="22">
        <v>302</v>
      </c>
      <c r="X17" s="22">
        <v>0.09</v>
      </c>
      <c r="Y17" s="22">
        <v>7.05</v>
      </c>
      <c r="Z17" s="22">
        <v>80.45</v>
      </c>
      <c r="AA17" s="22">
        <v>-11.97</v>
      </c>
    </row>
    <row r="18" spans="1:27" x14ac:dyDescent="0.25">
      <c r="A18" s="18">
        <v>0.26</v>
      </c>
      <c r="B18" s="18">
        <v>305.8</v>
      </c>
      <c r="C18" s="18">
        <v>0.5</v>
      </c>
      <c r="D18" s="18">
        <v>3.66</v>
      </c>
      <c r="E18" s="18">
        <v>44.1</v>
      </c>
      <c r="F18" s="18">
        <v>-15.03</v>
      </c>
      <c r="H18" s="20">
        <v>0.26</v>
      </c>
      <c r="I18" s="20">
        <v>305.8</v>
      </c>
      <c r="J18" s="20">
        <v>0.57999999999999996</v>
      </c>
      <c r="K18" s="20">
        <v>3.74</v>
      </c>
      <c r="L18" s="20">
        <v>39.93</v>
      </c>
      <c r="M18" s="20">
        <v>-14.54</v>
      </c>
      <c r="O18" s="24">
        <v>0.27</v>
      </c>
      <c r="P18" s="24">
        <v>301.8</v>
      </c>
      <c r="Q18" s="24">
        <v>2.56</v>
      </c>
      <c r="R18" s="24">
        <v>0.73</v>
      </c>
      <c r="S18" s="24">
        <v>25.67</v>
      </c>
      <c r="T18" s="24">
        <v>-27.57</v>
      </c>
      <c r="V18" s="22">
        <v>0.27</v>
      </c>
      <c r="W18" s="22">
        <v>301.8</v>
      </c>
      <c r="X18" s="22">
        <v>0.08</v>
      </c>
      <c r="Y18" s="22">
        <v>7.24</v>
      </c>
      <c r="Z18" s="22">
        <v>60.96</v>
      </c>
      <c r="AA18" s="22">
        <v>-9.6</v>
      </c>
    </row>
    <row r="19" spans="1:27" x14ac:dyDescent="0.25">
      <c r="A19" s="18">
        <v>0.2</v>
      </c>
      <c r="B19" s="18">
        <v>305.60000000000002</v>
      </c>
      <c r="C19" s="18">
        <v>0.46</v>
      </c>
      <c r="D19" s="18">
        <v>3.82</v>
      </c>
      <c r="E19" s="18">
        <v>31.88</v>
      </c>
      <c r="F19" s="18">
        <v>-11.37</v>
      </c>
      <c r="H19" s="20">
        <v>0.2</v>
      </c>
      <c r="I19" s="20">
        <v>305.60000000000002</v>
      </c>
      <c r="J19" s="20">
        <v>0.53</v>
      </c>
      <c r="K19" s="20">
        <v>3.89</v>
      </c>
      <c r="L19" s="20">
        <v>28.97</v>
      </c>
      <c r="M19" s="20">
        <v>-11</v>
      </c>
      <c r="O19" s="24">
        <v>0.2</v>
      </c>
      <c r="P19" s="24">
        <v>301.60000000000002</v>
      </c>
      <c r="Q19" s="24">
        <v>2.42</v>
      </c>
      <c r="R19" s="24">
        <v>0.79</v>
      </c>
      <c r="S19" s="24">
        <v>18.96</v>
      </c>
      <c r="T19" s="24">
        <v>-21.27</v>
      </c>
      <c r="V19" s="22">
        <v>0.2</v>
      </c>
      <c r="W19" s="22">
        <v>301.60000000000002</v>
      </c>
      <c r="X19" s="22">
        <v>7.0000000000000007E-2</v>
      </c>
      <c r="Y19" s="22">
        <v>7.43</v>
      </c>
      <c r="Z19" s="22">
        <v>43.31</v>
      </c>
      <c r="AA19" s="22">
        <v>-7.21</v>
      </c>
    </row>
    <row r="20" spans="1:27" x14ac:dyDescent="0.25">
      <c r="A20" s="18">
        <v>0.13</v>
      </c>
      <c r="B20" s="18">
        <v>305.39999999999998</v>
      </c>
      <c r="C20" s="18">
        <v>0.42</v>
      </c>
      <c r="D20" s="18">
        <v>3.98</v>
      </c>
      <c r="E20" s="18">
        <v>20.48</v>
      </c>
      <c r="F20" s="18">
        <v>-7.64</v>
      </c>
      <c r="H20" s="20">
        <v>0.13</v>
      </c>
      <c r="I20" s="20">
        <v>305.39999999999998</v>
      </c>
      <c r="J20" s="20">
        <v>0.49</v>
      </c>
      <c r="K20" s="20">
        <v>4.05</v>
      </c>
      <c r="L20" s="20">
        <v>18.670000000000002</v>
      </c>
      <c r="M20" s="20">
        <v>-7.39</v>
      </c>
      <c r="O20" s="24">
        <v>0.13</v>
      </c>
      <c r="P20" s="24">
        <v>301.39999999999998</v>
      </c>
      <c r="Q20" s="24">
        <v>2.29</v>
      </c>
      <c r="R20" s="24">
        <v>0.86</v>
      </c>
      <c r="S20" s="24">
        <v>12.44</v>
      </c>
      <c r="T20" s="24">
        <v>-14.58</v>
      </c>
      <c r="V20" s="22">
        <v>0.13</v>
      </c>
      <c r="W20" s="22">
        <v>301.39999999999998</v>
      </c>
      <c r="X20" s="22">
        <v>0.06</v>
      </c>
      <c r="Y20" s="22">
        <v>7.63</v>
      </c>
      <c r="Z20" s="22">
        <v>27.35</v>
      </c>
      <c r="AA20" s="22">
        <v>-4.82</v>
      </c>
    </row>
    <row r="21" spans="1:27" x14ac:dyDescent="0.25">
      <c r="A21" s="18">
        <v>7.0000000000000007E-2</v>
      </c>
      <c r="B21" s="18">
        <v>305.2</v>
      </c>
      <c r="C21" s="18">
        <v>0.38</v>
      </c>
      <c r="D21" s="18">
        <v>4.1399999999999997</v>
      </c>
      <c r="E21" s="18">
        <v>9.86</v>
      </c>
      <c r="F21" s="18">
        <v>-3.85</v>
      </c>
      <c r="H21" s="20">
        <v>7.0000000000000007E-2</v>
      </c>
      <c r="I21" s="20">
        <v>305.2</v>
      </c>
      <c r="J21" s="20">
        <v>0.45</v>
      </c>
      <c r="K21" s="20">
        <v>4.21</v>
      </c>
      <c r="L21" s="20">
        <v>9.02</v>
      </c>
      <c r="M21" s="20">
        <v>-3.72</v>
      </c>
      <c r="O21" s="24">
        <v>7.0000000000000007E-2</v>
      </c>
      <c r="P21" s="24">
        <v>301.2</v>
      </c>
      <c r="Q21" s="24">
        <v>2.16</v>
      </c>
      <c r="R21" s="24">
        <v>0.93</v>
      </c>
      <c r="S21" s="24">
        <v>6.12</v>
      </c>
      <c r="T21" s="24">
        <v>-7.5</v>
      </c>
      <c r="V21" s="22">
        <v>7.0000000000000007E-2</v>
      </c>
      <c r="W21" s="22">
        <v>301.2</v>
      </c>
      <c r="X21" s="22">
        <v>0.06</v>
      </c>
      <c r="Y21" s="22">
        <v>7.82</v>
      </c>
      <c r="Z21" s="22">
        <v>12.96</v>
      </c>
      <c r="AA21" s="22">
        <v>-2.41</v>
      </c>
    </row>
    <row r="22" spans="1:27" x14ac:dyDescent="0.25">
      <c r="A22" s="18">
        <v>0</v>
      </c>
      <c r="B22" s="18">
        <v>305</v>
      </c>
      <c r="C22" s="18">
        <v>0.35</v>
      </c>
      <c r="D22" s="18">
        <v>4.3099999999999996</v>
      </c>
      <c r="E22" s="18">
        <v>0</v>
      </c>
      <c r="F22" s="18">
        <v>0</v>
      </c>
      <c r="H22" s="20">
        <v>0</v>
      </c>
      <c r="I22" s="20">
        <v>305</v>
      </c>
      <c r="J22" s="20">
        <v>0.41</v>
      </c>
      <c r="K22" s="20">
        <v>4.37</v>
      </c>
      <c r="L22" s="20">
        <v>0</v>
      </c>
      <c r="M22" s="20">
        <v>0</v>
      </c>
      <c r="O22" s="24">
        <v>0</v>
      </c>
      <c r="P22" s="24">
        <v>301</v>
      </c>
      <c r="Q22" s="24">
        <v>2.04</v>
      </c>
      <c r="R22" s="24">
        <v>1</v>
      </c>
      <c r="S22" s="24">
        <v>0</v>
      </c>
      <c r="T22" s="24">
        <v>0</v>
      </c>
      <c r="V22" s="22">
        <v>0</v>
      </c>
      <c r="W22" s="22">
        <v>301</v>
      </c>
      <c r="X22" s="22">
        <v>0.05</v>
      </c>
      <c r="Y22" s="22">
        <v>8.01</v>
      </c>
      <c r="Z22" s="22">
        <v>0</v>
      </c>
      <c r="AA22" s="22">
        <v>0</v>
      </c>
    </row>
    <row r="23" spans="1:27" x14ac:dyDescent="0.25">
      <c r="A23" s="18">
        <v>-7.0000000000000007E-2</v>
      </c>
      <c r="B23" s="18">
        <v>304.8</v>
      </c>
      <c r="C23" s="18">
        <v>0.31</v>
      </c>
      <c r="D23" s="18">
        <v>4.4800000000000004</v>
      </c>
      <c r="E23" s="18">
        <v>-9.15</v>
      </c>
      <c r="F23" s="18">
        <v>3.91</v>
      </c>
      <c r="H23" s="20">
        <v>-7.0000000000000007E-2</v>
      </c>
      <c r="I23" s="20">
        <v>304.8</v>
      </c>
      <c r="J23" s="20">
        <v>0.38</v>
      </c>
      <c r="K23" s="20">
        <v>4.54</v>
      </c>
      <c r="L23" s="20">
        <v>-8.43</v>
      </c>
      <c r="M23" s="20">
        <v>3.78</v>
      </c>
      <c r="O23" s="24">
        <v>-7.0000000000000007E-2</v>
      </c>
      <c r="P23" s="24">
        <v>300.8</v>
      </c>
      <c r="Q23" s="24">
        <v>1.92</v>
      </c>
      <c r="R23" s="24">
        <v>1.08</v>
      </c>
      <c r="S23" s="24">
        <v>-5.92</v>
      </c>
      <c r="T23" s="24">
        <v>7.91</v>
      </c>
      <c r="V23" s="22">
        <v>-7.0000000000000007E-2</v>
      </c>
      <c r="W23" s="22">
        <v>300.8</v>
      </c>
      <c r="X23" s="22">
        <v>0.04</v>
      </c>
      <c r="Y23" s="22">
        <v>8.2100000000000009</v>
      </c>
      <c r="Z23" s="22">
        <v>-11.64</v>
      </c>
      <c r="AA23" s="22">
        <v>2.42</v>
      </c>
    </row>
    <row r="24" spans="1:27" x14ac:dyDescent="0.25">
      <c r="A24" s="18">
        <v>-0.13</v>
      </c>
      <c r="B24" s="18">
        <v>304.60000000000002</v>
      </c>
      <c r="C24" s="18">
        <v>0.28000000000000003</v>
      </c>
      <c r="D24" s="18">
        <v>4.6500000000000004</v>
      </c>
      <c r="E24" s="18">
        <v>-17.61</v>
      </c>
      <c r="F24" s="18">
        <v>7.87</v>
      </c>
      <c r="H24" s="20">
        <v>-0.13</v>
      </c>
      <c r="I24" s="20">
        <v>304.60000000000002</v>
      </c>
      <c r="J24" s="20">
        <v>0.34</v>
      </c>
      <c r="K24" s="20">
        <v>4.71</v>
      </c>
      <c r="L24" s="20">
        <v>-16.28</v>
      </c>
      <c r="M24" s="20">
        <v>7.62</v>
      </c>
      <c r="O24" s="24">
        <v>-0.13</v>
      </c>
      <c r="P24" s="24">
        <v>300.60000000000002</v>
      </c>
      <c r="Q24" s="24">
        <v>1.8</v>
      </c>
      <c r="R24" s="24">
        <v>1.17</v>
      </c>
      <c r="S24" s="24">
        <v>-11.62</v>
      </c>
      <c r="T24" s="24">
        <v>16.239999999999998</v>
      </c>
      <c r="V24" s="22">
        <v>-0.13</v>
      </c>
      <c r="W24" s="22">
        <v>300.60000000000002</v>
      </c>
      <c r="X24" s="22">
        <v>0.04</v>
      </c>
      <c r="Y24" s="22">
        <v>8.4</v>
      </c>
      <c r="Z24" s="22">
        <v>-22.08</v>
      </c>
      <c r="AA24" s="22">
        <v>4.8499999999999996</v>
      </c>
    </row>
    <row r="25" spans="1:27" x14ac:dyDescent="0.25">
      <c r="A25" s="18">
        <v>-0.2</v>
      </c>
      <c r="B25" s="18">
        <v>304.39999999999998</v>
      </c>
      <c r="C25" s="18">
        <v>0.26</v>
      </c>
      <c r="D25" s="18">
        <v>4.82</v>
      </c>
      <c r="E25" s="18">
        <v>-25.43</v>
      </c>
      <c r="F25" s="18">
        <v>11.88</v>
      </c>
      <c r="H25" s="20">
        <v>-0.2</v>
      </c>
      <c r="I25" s="20">
        <v>304.39999999999998</v>
      </c>
      <c r="J25" s="20">
        <v>0.31</v>
      </c>
      <c r="K25" s="20">
        <v>4.88</v>
      </c>
      <c r="L25" s="20">
        <v>-23.59</v>
      </c>
      <c r="M25" s="20">
        <v>11.5</v>
      </c>
      <c r="O25" s="24">
        <v>-0.2</v>
      </c>
      <c r="P25" s="24">
        <v>300.39999999999998</v>
      </c>
      <c r="Q25" s="24">
        <v>1.69</v>
      </c>
      <c r="R25" s="24">
        <v>1.26</v>
      </c>
      <c r="S25" s="24">
        <v>-17.12</v>
      </c>
      <c r="T25" s="24">
        <v>25</v>
      </c>
      <c r="V25" s="22">
        <v>-0.2</v>
      </c>
      <c r="W25" s="22">
        <v>300.39999999999998</v>
      </c>
      <c r="X25" s="22">
        <v>0.03</v>
      </c>
      <c r="Y25" s="22">
        <v>8.6</v>
      </c>
      <c r="Z25" s="22">
        <v>-31.41</v>
      </c>
      <c r="AA25" s="22">
        <v>7.29</v>
      </c>
    </row>
    <row r="26" spans="1:27" x14ac:dyDescent="0.25">
      <c r="A26" s="18">
        <v>-0.26</v>
      </c>
      <c r="B26" s="18">
        <v>304.2</v>
      </c>
      <c r="C26" s="18">
        <v>0.23</v>
      </c>
      <c r="D26" s="18">
        <v>5</v>
      </c>
      <c r="E26" s="18">
        <v>-32.64</v>
      </c>
      <c r="F26" s="18">
        <v>15.95</v>
      </c>
      <c r="H26" s="20">
        <v>-0.26</v>
      </c>
      <c r="I26" s="20">
        <v>304.2</v>
      </c>
      <c r="J26" s="20">
        <v>0.28999999999999998</v>
      </c>
      <c r="K26" s="20">
        <v>5.05</v>
      </c>
      <c r="L26" s="20">
        <v>-30.38</v>
      </c>
      <c r="M26" s="20">
        <v>15.44</v>
      </c>
      <c r="O26" s="24">
        <v>-0.27</v>
      </c>
      <c r="P26" s="24">
        <v>300.2</v>
      </c>
      <c r="Q26" s="24">
        <v>1.58</v>
      </c>
      <c r="R26" s="24">
        <v>1.35</v>
      </c>
      <c r="S26" s="24">
        <v>-22.41</v>
      </c>
      <c r="T26" s="24">
        <v>34.19</v>
      </c>
      <c r="V26" s="22">
        <v>-0.27</v>
      </c>
      <c r="W26" s="22">
        <v>300.2</v>
      </c>
      <c r="X26" s="22">
        <v>0.03</v>
      </c>
      <c r="Y26" s="22">
        <v>8.7899999999999991</v>
      </c>
      <c r="Z26" s="22">
        <v>-39.75</v>
      </c>
      <c r="AA26" s="22">
        <v>9.73</v>
      </c>
    </row>
    <row r="27" spans="1:27" x14ac:dyDescent="0.25">
      <c r="A27" s="18">
        <v>-0.33</v>
      </c>
      <c r="B27" s="18">
        <v>304</v>
      </c>
      <c r="C27" s="18">
        <v>0.21</v>
      </c>
      <c r="D27" s="18">
        <v>5.17</v>
      </c>
      <c r="E27" s="18">
        <v>-39.270000000000003</v>
      </c>
      <c r="F27" s="18">
        <v>20.059999999999999</v>
      </c>
      <c r="H27" s="20">
        <v>-0.33</v>
      </c>
      <c r="I27" s="20">
        <v>304</v>
      </c>
      <c r="J27" s="20">
        <v>0.26</v>
      </c>
      <c r="K27" s="20">
        <v>5.22</v>
      </c>
      <c r="L27" s="20">
        <v>-36.67</v>
      </c>
      <c r="M27" s="20">
        <v>19.420000000000002</v>
      </c>
      <c r="O27" s="24">
        <v>-0.33</v>
      </c>
      <c r="P27" s="24">
        <v>300</v>
      </c>
      <c r="Q27" s="24">
        <v>1.48</v>
      </c>
      <c r="R27" s="24">
        <v>1.44</v>
      </c>
      <c r="S27" s="24">
        <v>-27.48</v>
      </c>
      <c r="T27" s="24">
        <v>43.81</v>
      </c>
      <c r="V27" s="22">
        <v>-0.33</v>
      </c>
      <c r="W27" s="22">
        <v>300</v>
      </c>
      <c r="X27" s="22">
        <v>0.03</v>
      </c>
      <c r="Y27" s="22">
        <v>8.99</v>
      </c>
      <c r="Z27" s="22">
        <v>-47.18</v>
      </c>
      <c r="AA27" s="22">
        <v>12.18</v>
      </c>
    </row>
    <row r="28" spans="1:27" x14ac:dyDescent="0.25">
      <c r="A28" s="18">
        <v>-0.39</v>
      </c>
      <c r="B28" s="18">
        <v>303.8</v>
      </c>
      <c r="C28" s="18">
        <v>0.19</v>
      </c>
      <c r="D28" s="18">
        <v>5.35</v>
      </c>
      <c r="E28" s="18">
        <v>-45.35</v>
      </c>
      <c r="F28" s="18">
        <v>24.21</v>
      </c>
      <c r="H28" s="20">
        <v>-0.39</v>
      </c>
      <c r="I28" s="20">
        <v>303.8</v>
      </c>
      <c r="J28" s="20">
        <v>0.24</v>
      </c>
      <c r="K28" s="20">
        <v>5.4</v>
      </c>
      <c r="L28" s="20">
        <v>-42.49</v>
      </c>
      <c r="M28" s="20">
        <v>23.45</v>
      </c>
      <c r="O28" s="24">
        <v>-0.4</v>
      </c>
      <c r="P28" s="24">
        <v>299.8</v>
      </c>
      <c r="Q28" s="24">
        <v>1.38</v>
      </c>
      <c r="R28" s="24">
        <v>1.54</v>
      </c>
      <c r="S28" s="24">
        <v>-32.340000000000003</v>
      </c>
      <c r="T28" s="24">
        <v>53.86</v>
      </c>
      <c r="V28" s="22">
        <v>-0.4</v>
      </c>
      <c r="W28" s="22">
        <v>299.8</v>
      </c>
      <c r="X28" s="22">
        <v>0.02</v>
      </c>
      <c r="Y28" s="22">
        <v>9.18</v>
      </c>
      <c r="Z28" s="22">
        <v>-53.78</v>
      </c>
      <c r="AA28" s="22">
        <v>14.64</v>
      </c>
    </row>
    <row r="29" spans="1:27" x14ac:dyDescent="0.25">
      <c r="A29" s="18">
        <v>-0.46</v>
      </c>
      <c r="B29" s="18">
        <v>303.60000000000002</v>
      </c>
      <c r="C29" s="18">
        <v>0.17</v>
      </c>
      <c r="D29" s="18">
        <v>5.53</v>
      </c>
      <c r="E29" s="18">
        <v>-50.92</v>
      </c>
      <c r="F29" s="18">
        <v>28.4</v>
      </c>
      <c r="H29" s="20">
        <v>-0.46</v>
      </c>
      <c r="I29" s="20">
        <v>303.60000000000002</v>
      </c>
      <c r="J29" s="20">
        <v>0.21</v>
      </c>
      <c r="K29" s="20">
        <v>5.58</v>
      </c>
      <c r="L29" s="20">
        <v>-47.86</v>
      </c>
      <c r="M29" s="20">
        <v>27.51</v>
      </c>
      <c r="O29" s="24">
        <v>-0.47</v>
      </c>
      <c r="P29" s="24">
        <v>299.60000000000002</v>
      </c>
      <c r="Q29" s="24">
        <v>1.28</v>
      </c>
      <c r="R29" s="24">
        <v>1.65</v>
      </c>
      <c r="S29" s="24">
        <v>-36.99</v>
      </c>
      <c r="T29" s="24">
        <v>64.349999999999994</v>
      </c>
      <c r="V29" s="22">
        <v>-0.47</v>
      </c>
      <c r="W29" s="22">
        <v>299.60000000000002</v>
      </c>
      <c r="X29" s="22">
        <v>0.02</v>
      </c>
      <c r="Y29" s="22">
        <v>9.3800000000000008</v>
      </c>
      <c r="Z29" s="22">
        <v>-59.64</v>
      </c>
      <c r="AA29" s="22">
        <v>17.100000000000001</v>
      </c>
    </row>
    <row r="30" spans="1:27" x14ac:dyDescent="0.25">
      <c r="A30" s="18">
        <v>-0.52</v>
      </c>
      <c r="B30" s="18">
        <v>303.39999999999998</v>
      </c>
      <c r="C30" s="18">
        <v>0.15</v>
      </c>
      <c r="D30" s="18">
        <v>5.72</v>
      </c>
      <c r="E30" s="18">
        <v>-56.01</v>
      </c>
      <c r="F30" s="18">
        <v>32.64</v>
      </c>
      <c r="H30" s="20">
        <v>-0.52</v>
      </c>
      <c r="I30" s="20">
        <v>303.39999999999998</v>
      </c>
      <c r="J30" s="20">
        <v>0.19</v>
      </c>
      <c r="K30" s="20">
        <v>5.75</v>
      </c>
      <c r="L30" s="20">
        <v>-52.82</v>
      </c>
      <c r="M30" s="20">
        <v>31.62</v>
      </c>
      <c r="O30" s="24">
        <v>-0.53</v>
      </c>
      <c r="P30" s="24">
        <v>299.39999999999998</v>
      </c>
      <c r="Q30" s="24">
        <v>1.19</v>
      </c>
      <c r="R30" s="24">
        <v>1.76</v>
      </c>
      <c r="S30" s="24">
        <v>-41.42</v>
      </c>
      <c r="T30" s="24">
        <v>75.27</v>
      </c>
      <c r="V30" s="22">
        <v>-0.53</v>
      </c>
      <c r="W30" s="22">
        <v>299.39999999999998</v>
      </c>
      <c r="X30" s="22">
        <v>0.02</v>
      </c>
      <c r="Y30" s="22">
        <v>9.58</v>
      </c>
      <c r="Z30" s="22">
        <v>-64.819999999999993</v>
      </c>
      <c r="AA30" s="22">
        <v>19.559999999999999</v>
      </c>
    </row>
    <row r="31" spans="1:27" x14ac:dyDescent="0.25">
      <c r="A31" s="18">
        <v>-0.59</v>
      </c>
      <c r="B31" s="18">
        <v>303.2</v>
      </c>
      <c r="C31" s="18">
        <v>0.14000000000000001</v>
      </c>
      <c r="D31" s="18">
        <v>5.9</v>
      </c>
      <c r="E31" s="18">
        <v>-60.65</v>
      </c>
      <c r="F31" s="18">
        <v>36.9</v>
      </c>
      <c r="H31" s="20">
        <v>-0.59</v>
      </c>
      <c r="I31" s="20">
        <v>303.2</v>
      </c>
      <c r="J31" s="20">
        <v>0.18</v>
      </c>
      <c r="K31" s="20">
        <v>5.94</v>
      </c>
      <c r="L31" s="20">
        <v>-57.38</v>
      </c>
      <c r="M31" s="20">
        <v>35.770000000000003</v>
      </c>
      <c r="O31" s="24">
        <v>-0.6</v>
      </c>
      <c r="P31" s="24">
        <v>299.2</v>
      </c>
      <c r="Q31" s="24">
        <v>1.1100000000000001</v>
      </c>
      <c r="R31" s="24">
        <v>1.87</v>
      </c>
      <c r="S31" s="24">
        <v>-45.64</v>
      </c>
      <c r="T31" s="24">
        <v>86.62</v>
      </c>
      <c r="V31" s="22">
        <v>-0.6</v>
      </c>
      <c r="W31" s="22">
        <v>299.2</v>
      </c>
      <c r="X31" s="22">
        <v>0.02</v>
      </c>
      <c r="Y31" s="22">
        <v>9.7799999999999994</v>
      </c>
      <c r="Z31" s="22">
        <v>-69.400000000000006</v>
      </c>
      <c r="AA31" s="22">
        <v>22.03</v>
      </c>
    </row>
    <row r="32" spans="1:27" x14ac:dyDescent="0.25">
      <c r="A32" s="18">
        <v>-0.66</v>
      </c>
      <c r="B32" s="18">
        <v>303</v>
      </c>
      <c r="C32" s="18">
        <v>0.12</v>
      </c>
      <c r="D32" s="18">
        <v>6.09</v>
      </c>
      <c r="E32" s="18">
        <v>-64.88</v>
      </c>
      <c r="F32" s="18">
        <v>41.21</v>
      </c>
      <c r="H32" s="20">
        <v>-0.66</v>
      </c>
      <c r="I32" s="20">
        <v>303</v>
      </c>
      <c r="J32" s="20">
        <v>0.16</v>
      </c>
      <c r="K32" s="20">
        <v>6.12</v>
      </c>
      <c r="L32" s="20">
        <v>-61.57</v>
      </c>
      <c r="M32" s="20">
        <v>39.950000000000003</v>
      </c>
      <c r="O32" s="24">
        <v>-0.66</v>
      </c>
      <c r="P32" s="24">
        <v>299</v>
      </c>
      <c r="Q32" s="24">
        <v>1.03</v>
      </c>
      <c r="R32" s="24">
        <v>1.99</v>
      </c>
      <c r="S32" s="24">
        <v>-49.65</v>
      </c>
      <c r="T32" s="24">
        <v>98.39</v>
      </c>
      <c r="V32" s="22">
        <v>-0.66</v>
      </c>
      <c r="W32" s="22">
        <v>299</v>
      </c>
      <c r="X32" s="22">
        <v>0.01</v>
      </c>
      <c r="Y32" s="22">
        <v>9.9700000000000006</v>
      </c>
      <c r="Z32" s="22">
        <v>-73.44</v>
      </c>
      <c r="AA32" s="22">
        <v>24.5</v>
      </c>
    </row>
    <row r="33" spans="1:27" x14ac:dyDescent="0.25">
      <c r="A33" s="18">
        <v>-0.72</v>
      </c>
      <c r="B33" s="18">
        <v>302.8</v>
      </c>
      <c r="C33" s="18">
        <v>0.11</v>
      </c>
      <c r="D33" s="18">
        <v>6.27</v>
      </c>
      <c r="E33" s="18">
        <v>-68.709999999999994</v>
      </c>
      <c r="F33" s="18">
        <v>45.54</v>
      </c>
      <c r="H33" s="20">
        <v>-0.72</v>
      </c>
      <c r="I33" s="20">
        <v>302.8</v>
      </c>
      <c r="J33" s="20">
        <v>0.14000000000000001</v>
      </c>
      <c r="K33" s="20">
        <v>6.3</v>
      </c>
      <c r="L33" s="20">
        <v>-65.400000000000006</v>
      </c>
      <c r="M33" s="20">
        <v>44.16</v>
      </c>
      <c r="O33" s="24">
        <v>-0.73</v>
      </c>
      <c r="P33" s="24">
        <v>298.8</v>
      </c>
      <c r="Q33" s="24">
        <v>0.95</v>
      </c>
      <c r="R33" s="24">
        <v>2.11</v>
      </c>
      <c r="S33" s="24">
        <v>-53.46</v>
      </c>
      <c r="T33" s="24">
        <v>110.59</v>
      </c>
      <c r="V33" s="22">
        <v>-0.73</v>
      </c>
      <c r="W33" s="22">
        <v>298.8</v>
      </c>
      <c r="X33" s="22">
        <v>0.01</v>
      </c>
      <c r="Y33" s="22">
        <v>10.17</v>
      </c>
      <c r="Z33" s="22">
        <v>-77</v>
      </c>
      <c r="AA33" s="22">
        <v>26.97</v>
      </c>
    </row>
    <row r="34" spans="1:27" x14ac:dyDescent="0.25">
      <c r="A34" s="18">
        <v>-0.79</v>
      </c>
      <c r="B34" s="18">
        <v>302.60000000000002</v>
      </c>
      <c r="C34" s="18">
        <v>0.1</v>
      </c>
      <c r="D34" s="18">
        <v>6.46</v>
      </c>
      <c r="E34" s="18">
        <v>-72.180000000000007</v>
      </c>
      <c r="F34" s="18">
        <v>49.9</v>
      </c>
      <c r="H34" s="20">
        <v>-0.79</v>
      </c>
      <c r="I34" s="20">
        <v>302.60000000000002</v>
      </c>
      <c r="J34" s="20">
        <v>0.13</v>
      </c>
      <c r="K34" s="20">
        <v>6.49</v>
      </c>
      <c r="L34" s="20">
        <v>-68.91</v>
      </c>
      <c r="M34" s="20">
        <v>48.4</v>
      </c>
      <c r="O34" s="24">
        <v>-0.8</v>
      </c>
      <c r="P34" s="24">
        <v>298.60000000000002</v>
      </c>
      <c r="Q34" s="24">
        <v>0.88</v>
      </c>
      <c r="R34" s="24">
        <v>2.2400000000000002</v>
      </c>
      <c r="S34" s="24">
        <v>-57.06</v>
      </c>
      <c r="T34" s="24">
        <v>123.2</v>
      </c>
      <c r="V34" s="22">
        <v>-0.8</v>
      </c>
      <c r="W34" s="22">
        <v>298.60000000000002</v>
      </c>
      <c r="X34" s="22">
        <v>0.01</v>
      </c>
      <c r="Y34" s="22">
        <v>10.37</v>
      </c>
      <c r="Z34" s="22">
        <v>-80.11</v>
      </c>
      <c r="AA34" s="22">
        <v>29.45</v>
      </c>
    </row>
    <row r="51" spans="1:2" x14ac:dyDescent="0.25">
      <c r="A51" s="29"/>
    </row>
    <row r="52" spans="1:2" x14ac:dyDescent="0.25">
      <c r="A52" s="29"/>
    </row>
    <row r="53" spans="1:2" x14ac:dyDescent="0.25">
      <c r="A53" s="29"/>
    </row>
    <row r="54" spans="1:2" x14ac:dyDescent="0.25">
      <c r="A54" s="29"/>
    </row>
    <row r="55" spans="1:2" x14ac:dyDescent="0.25">
      <c r="A55" s="29"/>
      <c r="B55" s="30"/>
    </row>
    <row r="56" spans="1:2" x14ac:dyDescent="0.25">
      <c r="A56" s="29"/>
      <c r="B56" s="30"/>
    </row>
    <row r="57" spans="1:2" x14ac:dyDescent="0.25">
      <c r="A57" s="29"/>
    </row>
    <row r="58" spans="1:2" x14ac:dyDescent="0.25">
      <c r="A58" s="29"/>
      <c r="B58" s="30"/>
    </row>
    <row r="59" spans="1:2" x14ac:dyDescent="0.25">
      <c r="A59" s="29"/>
    </row>
    <row r="60" spans="1:2" x14ac:dyDescent="0.25">
      <c r="A60" s="29"/>
    </row>
    <row r="61" spans="1:2" x14ac:dyDescent="0.25">
      <c r="A61" s="29"/>
      <c r="B61" s="30"/>
    </row>
    <row r="62" spans="1:2" x14ac:dyDescent="0.25">
      <c r="A62" s="29"/>
    </row>
    <row r="63" spans="1:2" x14ac:dyDescent="0.25">
      <c r="A63" s="29"/>
    </row>
    <row r="64" spans="1:2" x14ac:dyDescent="0.25">
      <c r="A64" s="29"/>
      <c r="B64" s="30"/>
    </row>
    <row r="65" spans="1:2" x14ac:dyDescent="0.25">
      <c r="A65" s="29"/>
    </row>
    <row r="66" spans="1:2" x14ac:dyDescent="0.25">
      <c r="A66" s="29"/>
      <c r="B66" s="30"/>
    </row>
    <row r="67" spans="1:2" x14ac:dyDescent="0.25">
      <c r="A67" s="29"/>
    </row>
    <row r="68" spans="1:2" x14ac:dyDescent="0.25">
      <c r="A68" s="29"/>
      <c r="B68" s="30"/>
    </row>
    <row r="69" spans="1:2" x14ac:dyDescent="0.25">
      <c r="A69" s="29"/>
      <c r="B69" s="30"/>
    </row>
    <row r="70" spans="1:2" x14ac:dyDescent="0.25">
      <c r="A70" s="29"/>
      <c r="B70" s="30"/>
    </row>
    <row r="71" spans="1:2" x14ac:dyDescent="0.25">
      <c r="A71" s="29"/>
      <c r="B71" s="30"/>
    </row>
    <row r="72" spans="1:2" x14ac:dyDescent="0.25">
      <c r="A72" s="29"/>
    </row>
    <row r="73" spans="1:2" x14ac:dyDescent="0.25">
      <c r="A73" s="29"/>
    </row>
    <row r="74" spans="1:2" x14ac:dyDescent="0.25">
      <c r="A74" s="29"/>
      <c r="B74" s="30"/>
    </row>
    <row r="75" spans="1:2" x14ac:dyDescent="0.25">
      <c r="A75" s="29"/>
    </row>
    <row r="76" spans="1:2" x14ac:dyDescent="0.25">
      <c r="A76" s="29"/>
    </row>
    <row r="77" spans="1:2" x14ac:dyDescent="0.25">
      <c r="A77" s="29"/>
      <c r="B77" s="30"/>
    </row>
    <row r="78" spans="1:2" x14ac:dyDescent="0.25">
      <c r="A78" s="29"/>
    </row>
    <row r="79" spans="1:2" x14ac:dyDescent="0.25">
      <c r="A79" s="29"/>
    </row>
    <row r="80" spans="1:2" x14ac:dyDescent="0.25">
      <c r="A80" s="29"/>
    </row>
    <row r="81" spans="1:2" x14ac:dyDescent="0.25">
      <c r="A81" s="29"/>
    </row>
    <row r="82" spans="1:2" x14ac:dyDescent="0.25">
      <c r="A82" s="29"/>
    </row>
    <row r="83" spans="1:2" x14ac:dyDescent="0.25">
      <c r="A83" s="29"/>
      <c r="B83" s="30"/>
    </row>
    <row r="84" spans="1:2" x14ac:dyDescent="0.25">
      <c r="A84" s="29"/>
      <c r="B84" s="30"/>
    </row>
    <row r="85" spans="1:2" x14ac:dyDescent="0.25">
      <c r="A85" s="29"/>
    </row>
    <row r="86" spans="1:2" x14ac:dyDescent="0.25">
      <c r="A86" s="29"/>
      <c r="B86" s="30"/>
    </row>
    <row r="87" spans="1:2" x14ac:dyDescent="0.25">
      <c r="A87" s="29"/>
    </row>
    <row r="88" spans="1:2" x14ac:dyDescent="0.25">
      <c r="A88" s="29"/>
    </row>
    <row r="89" spans="1:2" x14ac:dyDescent="0.25">
      <c r="A89" s="29"/>
    </row>
    <row r="90" spans="1:2" x14ac:dyDescent="0.25">
      <c r="A90" s="29"/>
    </row>
    <row r="91" spans="1:2" x14ac:dyDescent="0.25">
      <c r="A91" s="29"/>
    </row>
    <row r="92" spans="1:2" x14ac:dyDescent="0.25">
      <c r="A92" s="29"/>
    </row>
    <row r="93" spans="1:2" x14ac:dyDescent="0.25">
      <c r="A93" s="29"/>
      <c r="B93" s="30"/>
    </row>
    <row r="94" spans="1:2" x14ac:dyDescent="0.25">
      <c r="A94" s="29"/>
      <c r="B94" s="30"/>
    </row>
    <row r="95" spans="1:2" x14ac:dyDescent="0.25">
      <c r="A95" s="29"/>
      <c r="B95" s="30"/>
    </row>
    <row r="96" spans="1:2" x14ac:dyDescent="0.25">
      <c r="A96" s="29"/>
    </row>
    <row r="97" spans="1:2" x14ac:dyDescent="0.25">
      <c r="A97" s="29"/>
    </row>
    <row r="98" spans="1:2" x14ac:dyDescent="0.25">
      <c r="A98" s="29"/>
    </row>
    <row r="99" spans="1:2" x14ac:dyDescent="0.25">
      <c r="A99" s="29"/>
      <c r="B99" s="30"/>
    </row>
    <row r="100" spans="1:2" x14ac:dyDescent="0.25">
      <c r="A100" s="29"/>
    </row>
    <row r="101" spans="1:2" x14ac:dyDescent="0.25">
      <c r="A101" s="29"/>
    </row>
    <row r="102" spans="1:2" x14ac:dyDescent="0.25">
      <c r="A102" s="29"/>
      <c r="B102" s="30"/>
    </row>
    <row r="103" spans="1:2" x14ac:dyDescent="0.25">
      <c r="A103" s="29"/>
      <c r="B103" s="30"/>
    </row>
    <row r="104" spans="1:2" x14ac:dyDescent="0.25">
      <c r="A104" s="29"/>
      <c r="B104" s="30"/>
    </row>
    <row r="105" spans="1:2" x14ac:dyDescent="0.25">
      <c r="A105" s="29"/>
    </row>
    <row r="106" spans="1:2" x14ac:dyDescent="0.25">
      <c r="A106" s="29"/>
    </row>
    <row r="107" spans="1:2" x14ac:dyDescent="0.25">
      <c r="A107" s="29"/>
      <c r="B107" s="30"/>
    </row>
    <row r="108" spans="1:2" x14ac:dyDescent="0.25">
      <c r="A108" s="29"/>
      <c r="B108" s="30"/>
    </row>
    <row r="109" spans="1:2" x14ac:dyDescent="0.25">
      <c r="A109" s="29"/>
      <c r="B109" s="30"/>
    </row>
    <row r="110" spans="1:2" x14ac:dyDescent="0.25">
      <c r="A110" s="29"/>
    </row>
    <row r="111" spans="1:2" x14ac:dyDescent="0.25">
      <c r="A111" s="29"/>
    </row>
    <row r="112" spans="1:2" x14ac:dyDescent="0.25">
      <c r="A112" s="29"/>
    </row>
    <row r="113" spans="1:2" x14ac:dyDescent="0.25">
      <c r="A113" s="29"/>
    </row>
    <row r="114" spans="1:2" x14ac:dyDescent="0.25">
      <c r="A114" s="29"/>
    </row>
    <row r="115" spans="1:2" x14ac:dyDescent="0.25">
      <c r="A115" s="29"/>
    </row>
    <row r="116" spans="1:2" x14ac:dyDescent="0.25">
      <c r="A116" s="29"/>
    </row>
    <row r="117" spans="1:2" x14ac:dyDescent="0.25">
      <c r="A117" s="29"/>
    </row>
    <row r="118" spans="1:2" x14ac:dyDescent="0.25">
      <c r="A118" s="29"/>
    </row>
    <row r="119" spans="1:2" x14ac:dyDescent="0.25">
      <c r="A119" s="29"/>
      <c r="B119" s="30"/>
    </row>
    <row r="120" spans="1:2" x14ac:dyDescent="0.25">
      <c r="A120" s="29"/>
      <c r="B120" s="30"/>
    </row>
    <row r="121" spans="1:2" x14ac:dyDescent="0.25">
      <c r="A121" s="29"/>
      <c r="B121" s="30"/>
    </row>
    <row r="122" spans="1:2" x14ac:dyDescent="0.25">
      <c r="A122" s="29"/>
    </row>
    <row r="123" spans="1:2" x14ac:dyDescent="0.25">
      <c r="A123" s="29"/>
    </row>
    <row r="124" spans="1:2" x14ac:dyDescent="0.25">
      <c r="A124" s="29"/>
    </row>
    <row r="125" spans="1:2" x14ac:dyDescent="0.25">
      <c r="A125" s="29"/>
    </row>
    <row r="126" spans="1:2" x14ac:dyDescent="0.25">
      <c r="A126" s="29"/>
    </row>
    <row r="127" spans="1:2" x14ac:dyDescent="0.25">
      <c r="A127" s="29"/>
    </row>
    <row r="128" spans="1:2" x14ac:dyDescent="0.25">
      <c r="A128" s="29"/>
    </row>
    <row r="129" spans="1:1" x14ac:dyDescent="0.25">
      <c r="A129" s="29"/>
    </row>
    <row r="130" spans="1:1" x14ac:dyDescent="0.25">
      <c r="A130" s="29"/>
    </row>
    <row r="131" spans="1:1" x14ac:dyDescent="0.25">
      <c r="A131" s="29"/>
    </row>
    <row r="132" spans="1:1" x14ac:dyDescent="0.25">
      <c r="A132" s="29"/>
    </row>
    <row r="133" spans="1:1" x14ac:dyDescent="0.25">
      <c r="A133" s="29"/>
    </row>
    <row r="134" spans="1:1" x14ac:dyDescent="0.25">
      <c r="A134" s="29"/>
    </row>
    <row r="135" spans="1:1" x14ac:dyDescent="0.25">
      <c r="A135" s="29"/>
    </row>
    <row r="136" spans="1:1" x14ac:dyDescent="0.25">
      <c r="A136" s="29"/>
    </row>
    <row r="137" spans="1:1" x14ac:dyDescent="0.25">
      <c r="A137" s="29"/>
    </row>
    <row r="138" spans="1:1" x14ac:dyDescent="0.25">
      <c r="A138" s="29"/>
    </row>
    <row r="139" spans="1:1" x14ac:dyDescent="0.25">
      <c r="A139" s="29"/>
    </row>
    <row r="140" spans="1:1" x14ac:dyDescent="0.25">
      <c r="A140" s="29"/>
    </row>
    <row r="141" spans="1:1" x14ac:dyDescent="0.25">
      <c r="A141" s="29"/>
    </row>
    <row r="142" spans="1:1" x14ac:dyDescent="0.25">
      <c r="A142" s="29"/>
    </row>
    <row r="143" spans="1:1" x14ac:dyDescent="0.25">
      <c r="A143" s="29"/>
    </row>
    <row r="144" spans="1:1" x14ac:dyDescent="0.25">
      <c r="A144" s="29"/>
    </row>
    <row r="145" spans="1:1" x14ac:dyDescent="0.25">
      <c r="A145" s="29"/>
    </row>
    <row r="146" spans="1:1" x14ac:dyDescent="0.25">
      <c r="A146" s="29"/>
    </row>
    <row r="147" spans="1:1" x14ac:dyDescent="0.25">
      <c r="A147" s="29"/>
    </row>
    <row r="148" spans="1:1" x14ac:dyDescent="0.25">
      <c r="A148" s="29"/>
    </row>
    <row r="149" spans="1:1" x14ac:dyDescent="0.25">
      <c r="A149" s="29"/>
    </row>
    <row r="150" spans="1:1" x14ac:dyDescent="0.25">
      <c r="A150" s="29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B0279-18F7-A345-8EFC-E8C99E623EA4}">
  <sheetPr codeName="Sheet17"/>
  <dimension ref="A1:AA150"/>
  <sheetViews>
    <sheetView zoomScale="79" zoomScaleNormal="79" workbookViewId="0">
      <selection activeCell="O6" sqref="O6"/>
    </sheetView>
  </sheetViews>
  <sheetFormatPr baseColWidth="10" defaultColWidth="11" defaultRowHeight="19" x14ac:dyDescent="0.25"/>
  <cols>
    <col min="1" max="1" width="9.33203125" style="19" bestFit="1" customWidth="1"/>
    <col min="2" max="2" width="8.33203125" style="19" bestFit="1" customWidth="1"/>
    <col min="3" max="3" width="11.1640625" style="19" bestFit="1" customWidth="1"/>
    <col min="4" max="4" width="10.5" style="19" bestFit="1" customWidth="1"/>
    <col min="5" max="6" width="7.6640625" style="19" bestFit="1" customWidth="1"/>
    <col min="7" max="7" width="6.1640625" style="19" customWidth="1"/>
    <col min="8" max="8" width="8.33203125" style="19" bestFit="1" customWidth="1"/>
    <col min="9" max="9" width="6.83203125" style="19" bestFit="1" customWidth="1"/>
    <col min="10" max="10" width="11.1640625" style="19" bestFit="1" customWidth="1"/>
    <col min="11" max="11" width="10.5" style="19" bestFit="1" customWidth="1"/>
    <col min="12" max="13" width="7.6640625" style="19" bestFit="1" customWidth="1"/>
    <col min="14" max="14" width="4.5" style="19" customWidth="1"/>
    <col min="15" max="15" width="8.33203125" style="19" bestFit="1" customWidth="1"/>
    <col min="16" max="16" width="6.83203125" style="19" bestFit="1" customWidth="1"/>
    <col min="17" max="17" width="11.1640625" style="19" bestFit="1" customWidth="1"/>
    <col min="18" max="18" width="10.5" style="19" bestFit="1" customWidth="1"/>
    <col min="19" max="20" width="7.6640625" style="19" bestFit="1" customWidth="1"/>
    <col min="21" max="21" width="5" style="19" customWidth="1"/>
    <col min="22" max="22" width="8.33203125" style="19" bestFit="1" customWidth="1"/>
    <col min="23" max="23" width="6.83203125" style="19" bestFit="1" customWidth="1"/>
    <col min="24" max="24" width="11.1640625" style="19" bestFit="1" customWidth="1"/>
    <col min="25" max="25" width="10.5" style="19" bestFit="1" customWidth="1"/>
    <col min="26" max="27" width="7.6640625" style="19" bestFit="1" customWidth="1"/>
    <col min="28" max="16384" width="11" style="19"/>
  </cols>
  <sheetData>
    <row r="1" spans="1:27" ht="22" x14ac:dyDescent="0.3">
      <c r="A1" s="18" t="s">
        <v>42</v>
      </c>
      <c r="B1" s="18" t="s">
        <v>43</v>
      </c>
      <c r="C1" s="18" t="s">
        <v>45</v>
      </c>
      <c r="D1" s="18" t="s">
        <v>37</v>
      </c>
      <c r="E1" s="18"/>
      <c r="G1" s="20" t="s">
        <v>41</v>
      </c>
      <c r="H1" s="20"/>
      <c r="K1" s="33" t="str" cm="1">
        <f t="array" aca="1" ref="K1" ca="1">_xlfn.TEXTAFTER(CELL("filename",A1),"]")</f>
        <v>AMZN</v>
      </c>
      <c r="O1" s="34" t="s">
        <v>42</v>
      </c>
      <c r="P1" s="34" t="s">
        <v>43</v>
      </c>
      <c r="Q1" s="34" t="s">
        <v>45</v>
      </c>
      <c r="R1" s="34" t="s">
        <v>37</v>
      </c>
      <c r="S1" s="34"/>
    </row>
    <row r="2" spans="1:27" x14ac:dyDescent="0.25">
      <c r="A2" s="18">
        <f ca="1">VLOOKUP($K$1,StockList!$B$1:$P$20,4,FALSE)</f>
        <v>102</v>
      </c>
      <c r="B2" s="18">
        <f ca="1">VLOOKUP($K$1,StockList!$B$1:$P$20,7,FALSE)</f>
        <v>103</v>
      </c>
      <c r="C2" s="18">
        <f ca="1">VLOOKUP($K$1,StockList!$B$1:$P$20,8,FALSE)</f>
        <v>98.7</v>
      </c>
      <c r="D2" s="18">
        <f ca="1">VLOOKUP($K$1,StockList!$B$1:$P$20,14,FALSE)</f>
        <v>0.15</v>
      </c>
      <c r="E2" s="18"/>
      <c r="G2" s="20"/>
      <c r="H2" s="20"/>
      <c r="O2" s="34">
        <f ca="1">VLOOKUP($K$1,StockList!$B$1:$P$20,9,FALSE)</f>
        <v>102</v>
      </c>
      <c r="P2" s="34">
        <f ca="1">VLOOKUP($K$1,StockList!$B$1:$P$20,12,FALSE)</f>
        <v>103</v>
      </c>
      <c r="Q2" s="34">
        <f ca="1">VLOOKUP($K$1,StockList!$B$1:$P$20,13,FALSE)</f>
        <v>98.7</v>
      </c>
      <c r="R2" s="34">
        <f ca="1">VLOOKUP($K$1,StockList!$B$1:$P$20,14,FALSE)</f>
        <v>0.15</v>
      </c>
      <c r="S2" s="34"/>
    </row>
    <row r="4" spans="1:27" x14ac:dyDescent="0.25">
      <c r="B4" s="23" t="s">
        <v>50</v>
      </c>
      <c r="C4" s="23" t="s">
        <v>22</v>
      </c>
      <c r="D4" s="23" t="s">
        <v>23</v>
      </c>
      <c r="E4" s="23" t="s">
        <v>51</v>
      </c>
      <c r="I4" s="20" t="s">
        <v>50</v>
      </c>
      <c r="J4" s="20" t="s">
        <v>22</v>
      </c>
      <c r="K4" s="20" t="s">
        <v>23</v>
      </c>
      <c r="L4" s="20" t="s">
        <v>51</v>
      </c>
      <c r="O4" s="35"/>
      <c r="P4" s="21" t="s">
        <v>50</v>
      </c>
      <c r="Q4" s="21" t="s">
        <v>22</v>
      </c>
      <c r="R4" s="21" t="s">
        <v>23</v>
      </c>
      <c r="S4" s="19" t="s">
        <v>51</v>
      </c>
      <c r="W4" s="22" t="s">
        <v>50</v>
      </c>
      <c r="X4" s="22" t="s">
        <v>22</v>
      </c>
      <c r="Y4" s="22" t="s">
        <v>23</v>
      </c>
      <c r="Z4" s="22" t="s">
        <v>51</v>
      </c>
    </row>
    <row r="5" spans="1:27" x14ac:dyDescent="0.25">
      <c r="A5" s="19" t="s">
        <v>57</v>
      </c>
      <c r="B5" s="23">
        <f ca="1">VLOOKUP($K$1,StockList!$B$1:$P$20,5,FALSE)</f>
        <v>106</v>
      </c>
      <c r="C5" s="23">
        <f>IF(G2=0,StockList!D2,AMZN!G2)</f>
        <v>0.75</v>
      </c>
      <c r="D5" s="23">
        <f ca="1">VLOOKUP($K$1,StockList!$B$1:$P$20,6,FALSE)</f>
        <v>46.94</v>
      </c>
      <c r="E5" s="23"/>
      <c r="H5" s="19" t="s">
        <v>57</v>
      </c>
      <c r="I5" s="20">
        <f ca="1">B5</f>
        <v>106</v>
      </c>
      <c r="J5" s="20">
        <f>C5+0.1</f>
        <v>0.85</v>
      </c>
      <c r="K5" s="20">
        <f ca="1">D5</f>
        <v>46.94</v>
      </c>
      <c r="L5" s="20"/>
      <c r="O5" s="35" t="s">
        <v>58</v>
      </c>
      <c r="P5" s="21">
        <f ca="1">VLOOKUP($K$1,StockList!$B$1:$P$20,10,FALSE)</f>
        <v>106</v>
      </c>
      <c r="Q5" s="21">
        <f>C5</f>
        <v>0.75</v>
      </c>
      <c r="R5" s="21">
        <f ca="1">VLOOKUP($K$1,StockList!$B$1:$P$20,11,FALSE)</f>
        <v>46.94</v>
      </c>
      <c r="V5" s="19" t="s">
        <v>58</v>
      </c>
      <c r="W5" s="22">
        <f ca="1">B5</f>
        <v>106</v>
      </c>
      <c r="X5" s="22">
        <f>C5+0.1</f>
        <v>0.85</v>
      </c>
      <c r="Y5" s="22">
        <f ca="1">D5</f>
        <v>46.94</v>
      </c>
      <c r="Z5" s="22"/>
    </row>
    <row r="8" spans="1:27" x14ac:dyDescent="0.25">
      <c r="A8" s="18" t="s">
        <v>47</v>
      </c>
      <c r="B8" s="18" t="s">
        <v>24</v>
      </c>
      <c r="C8" s="18" t="s">
        <v>25</v>
      </c>
      <c r="D8" s="18" t="s">
        <v>26</v>
      </c>
      <c r="E8" s="18" t="s">
        <v>48</v>
      </c>
      <c r="F8" s="18" t="s">
        <v>49</v>
      </c>
      <c r="H8" s="20" t="s">
        <v>47</v>
      </c>
      <c r="I8" s="20" t="s">
        <v>24</v>
      </c>
      <c r="J8" s="20" t="s">
        <v>25</v>
      </c>
      <c r="K8" s="20" t="s">
        <v>26</v>
      </c>
      <c r="L8" s="20" t="s">
        <v>48</v>
      </c>
      <c r="M8" s="20" t="s">
        <v>49</v>
      </c>
      <c r="O8" s="24" t="s">
        <v>47</v>
      </c>
      <c r="P8" s="24" t="s">
        <v>24</v>
      </c>
      <c r="Q8" s="24" t="s">
        <v>25</v>
      </c>
      <c r="R8" s="24" t="s">
        <v>26</v>
      </c>
      <c r="S8" s="24" t="s">
        <v>48</v>
      </c>
      <c r="T8" s="24" t="s">
        <v>49</v>
      </c>
      <c r="V8" s="22" t="s">
        <v>47</v>
      </c>
      <c r="W8" s="22" t="s">
        <v>24</v>
      </c>
      <c r="X8" s="22" t="s">
        <v>25</v>
      </c>
      <c r="Y8" s="22" t="s">
        <v>26</v>
      </c>
      <c r="Z8" s="22" t="s">
        <v>48</v>
      </c>
      <c r="AA8" s="22" t="s">
        <v>49</v>
      </c>
    </row>
    <row r="9" spans="1:27" x14ac:dyDescent="0.25">
      <c r="A9" s="27">
        <v>0</v>
      </c>
      <c r="B9" s="27">
        <v>305</v>
      </c>
      <c r="C9" s="27">
        <v>0.35</v>
      </c>
      <c r="D9" s="27">
        <v>4.3099999999999996</v>
      </c>
      <c r="E9" s="27">
        <v>0</v>
      </c>
      <c r="F9" s="27">
        <v>0</v>
      </c>
      <c r="H9" s="28">
        <v>0</v>
      </c>
      <c r="I9" s="28">
        <v>305</v>
      </c>
      <c r="J9" s="28">
        <v>0.41</v>
      </c>
      <c r="K9" s="28">
        <v>4.37</v>
      </c>
      <c r="L9" s="28">
        <v>0</v>
      </c>
      <c r="M9" s="28">
        <v>0</v>
      </c>
      <c r="O9" s="25">
        <v>0</v>
      </c>
      <c r="P9" s="25">
        <v>301</v>
      </c>
      <c r="Q9" s="25">
        <v>2.04</v>
      </c>
      <c r="R9" s="25">
        <v>1</v>
      </c>
      <c r="S9" s="25">
        <v>0</v>
      </c>
      <c r="T9" s="25">
        <v>0</v>
      </c>
      <c r="V9" s="26">
        <v>0</v>
      </c>
      <c r="W9" s="26">
        <v>301</v>
      </c>
      <c r="X9" s="26">
        <v>0.05</v>
      </c>
      <c r="Y9" s="26">
        <v>8.01</v>
      </c>
      <c r="Z9" s="26">
        <v>0</v>
      </c>
      <c r="AA9" s="26">
        <v>0</v>
      </c>
    </row>
    <row r="10" spans="1:27" x14ac:dyDescent="0.25">
      <c r="A10" s="27">
        <v>1.28</v>
      </c>
      <c r="B10" s="27">
        <v>308.89999999999998</v>
      </c>
      <c r="C10" s="27">
        <v>1.58</v>
      </c>
      <c r="D10" s="27">
        <v>1.65</v>
      </c>
      <c r="E10" s="27">
        <v>358.94</v>
      </c>
      <c r="F10" s="27">
        <v>-61.74</v>
      </c>
      <c r="H10" s="28">
        <v>1.28</v>
      </c>
      <c r="I10" s="28">
        <v>308.89999999999998</v>
      </c>
      <c r="J10" s="28">
        <v>1.69</v>
      </c>
      <c r="K10" s="28">
        <v>1.75</v>
      </c>
      <c r="L10" s="28">
        <v>310.62</v>
      </c>
      <c r="M10" s="28">
        <v>-59.95</v>
      </c>
      <c r="O10" s="25">
        <v>2.62</v>
      </c>
      <c r="P10" s="25">
        <v>308.89999999999998</v>
      </c>
      <c r="Q10" s="25">
        <v>8.94</v>
      </c>
      <c r="R10" s="25">
        <v>0.01</v>
      </c>
      <c r="S10" s="25">
        <v>338.85</v>
      </c>
      <c r="T10" s="25">
        <v>-99.01</v>
      </c>
      <c r="V10" s="26">
        <v>2.62</v>
      </c>
      <c r="W10" s="26">
        <v>308.89999999999998</v>
      </c>
      <c r="X10" s="26">
        <v>1.69</v>
      </c>
      <c r="Y10" s="26">
        <v>1.75</v>
      </c>
      <c r="Z10" s="26">
        <v>3221.72</v>
      </c>
      <c r="AA10" s="26">
        <v>-78.14</v>
      </c>
    </row>
    <row r="11" spans="1:27" x14ac:dyDescent="0.25">
      <c r="A11" s="27">
        <v>0.49</v>
      </c>
      <c r="B11" s="27">
        <v>306.5</v>
      </c>
      <c r="C11" s="27">
        <v>0.67</v>
      </c>
      <c r="D11" s="27">
        <v>3.13</v>
      </c>
      <c r="E11" s="27">
        <v>93.78</v>
      </c>
      <c r="F11" s="27">
        <v>-27.29</v>
      </c>
      <c r="H11" s="28">
        <v>0.49</v>
      </c>
      <c r="I11" s="28">
        <v>306.5</v>
      </c>
      <c r="J11" s="28">
        <v>0.76</v>
      </c>
      <c r="K11" s="28">
        <v>3.22</v>
      </c>
      <c r="L11" s="28">
        <v>83.95</v>
      </c>
      <c r="M11" s="28">
        <v>-26.4</v>
      </c>
      <c r="O11" s="25">
        <v>1.83</v>
      </c>
      <c r="P11" s="25">
        <v>306.5</v>
      </c>
      <c r="Q11" s="25">
        <v>6.59</v>
      </c>
      <c r="R11" s="25">
        <v>0.06</v>
      </c>
      <c r="S11" s="25">
        <v>223.42</v>
      </c>
      <c r="T11" s="25">
        <v>-94.26</v>
      </c>
      <c r="V11" s="26">
        <v>1.83</v>
      </c>
      <c r="W11" s="26">
        <v>306.5</v>
      </c>
      <c r="X11" s="26">
        <v>0.76</v>
      </c>
      <c r="Y11" s="26">
        <v>3.22</v>
      </c>
      <c r="Z11" s="26">
        <v>1388.05</v>
      </c>
      <c r="AA11" s="26">
        <v>-59.83</v>
      </c>
    </row>
    <row r="12" spans="1:27" x14ac:dyDescent="0.25">
      <c r="A12" s="18">
        <v>0.66</v>
      </c>
      <c r="B12" s="18">
        <v>307</v>
      </c>
      <c r="C12" s="18">
        <v>0.82</v>
      </c>
      <c r="D12" s="18">
        <v>2.78</v>
      </c>
      <c r="E12" s="18">
        <v>136.37</v>
      </c>
      <c r="F12" s="18">
        <v>-35.479999999999997</v>
      </c>
      <c r="H12" s="20">
        <v>0.66</v>
      </c>
      <c r="I12" s="20">
        <v>307</v>
      </c>
      <c r="J12" s="20">
        <v>0.91</v>
      </c>
      <c r="K12" s="20">
        <v>2.87</v>
      </c>
      <c r="L12" s="20">
        <v>121.12</v>
      </c>
      <c r="M12" s="20">
        <v>-34.340000000000003</v>
      </c>
      <c r="O12" s="24">
        <v>0.66</v>
      </c>
      <c r="P12" s="24">
        <v>303</v>
      </c>
      <c r="Q12" s="24">
        <v>3.46</v>
      </c>
      <c r="R12" s="24">
        <v>0.42</v>
      </c>
      <c r="S12" s="24">
        <v>69.650000000000006</v>
      </c>
      <c r="T12" s="24">
        <v>-57.8</v>
      </c>
      <c r="V12" s="22">
        <v>0.66</v>
      </c>
      <c r="W12" s="22">
        <v>303</v>
      </c>
      <c r="X12" s="22">
        <v>0.16</v>
      </c>
      <c r="Y12" s="22">
        <v>6.12</v>
      </c>
      <c r="Z12" s="22">
        <v>210.91</v>
      </c>
      <c r="AA12" s="22">
        <v>-23.62</v>
      </c>
    </row>
    <row r="13" spans="1:27" x14ac:dyDescent="0.25">
      <c r="A13" s="18">
        <v>0.59</v>
      </c>
      <c r="B13" s="18">
        <v>306.8</v>
      </c>
      <c r="C13" s="18">
        <v>0.75</v>
      </c>
      <c r="D13" s="18">
        <v>2.92</v>
      </c>
      <c r="E13" s="18">
        <v>118.58</v>
      </c>
      <c r="F13" s="18">
        <v>-32.270000000000003</v>
      </c>
      <c r="H13" s="20">
        <v>0.59</v>
      </c>
      <c r="I13" s="20">
        <v>306.8</v>
      </c>
      <c r="J13" s="20">
        <v>0.85</v>
      </c>
      <c r="K13" s="20">
        <v>3.01</v>
      </c>
      <c r="L13" s="20">
        <v>105.65</v>
      </c>
      <c r="M13" s="20">
        <v>-31.22</v>
      </c>
      <c r="O13" s="24">
        <v>0.6</v>
      </c>
      <c r="P13" s="24">
        <v>302.8</v>
      </c>
      <c r="Q13" s="24">
        <v>3.3</v>
      </c>
      <c r="R13" s="24">
        <v>0.47</v>
      </c>
      <c r="S13" s="24">
        <v>61.91</v>
      </c>
      <c r="T13" s="24">
        <v>-53.6</v>
      </c>
      <c r="V13" s="22">
        <v>0.6</v>
      </c>
      <c r="W13" s="22">
        <v>302.8</v>
      </c>
      <c r="X13" s="22">
        <v>0.14000000000000001</v>
      </c>
      <c r="Y13" s="22">
        <v>6.3</v>
      </c>
      <c r="Z13" s="22">
        <v>179.87</v>
      </c>
      <c r="AA13" s="22">
        <v>-21.33</v>
      </c>
    </row>
    <row r="14" spans="1:27" x14ac:dyDescent="0.25">
      <c r="A14" s="18">
        <v>0.52</v>
      </c>
      <c r="B14" s="18">
        <v>306.60000000000002</v>
      </c>
      <c r="C14" s="18">
        <v>0.7</v>
      </c>
      <c r="D14" s="18">
        <v>3.06</v>
      </c>
      <c r="E14" s="18">
        <v>101.8</v>
      </c>
      <c r="F14" s="18">
        <v>-28.97</v>
      </c>
      <c r="H14" s="20">
        <v>0.52</v>
      </c>
      <c r="I14" s="20">
        <v>306.60000000000002</v>
      </c>
      <c r="J14" s="20">
        <v>0.79</v>
      </c>
      <c r="K14" s="20">
        <v>3.15</v>
      </c>
      <c r="L14" s="20">
        <v>90.99</v>
      </c>
      <c r="M14" s="20">
        <v>-28.03</v>
      </c>
      <c r="O14" s="24">
        <v>0.53</v>
      </c>
      <c r="P14" s="24">
        <v>302.60000000000002</v>
      </c>
      <c r="Q14" s="24">
        <v>3.15</v>
      </c>
      <c r="R14" s="24">
        <v>0.51</v>
      </c>
      <c r="S14" s="24">
        <v>54.32</v>
      </c>
      <c r="T14" s="24">
        <v>-49.09</v>
      </c>
      <c r="V14" s="22">
        <v>0.53</v>
      </c>
      <c r="W14" s="22">
        <v>302.60000000000002</v>
      </c>
      <c r="X14" s="22">
        <v>0.13</v>
      </c>
      <c r="Y14" s="22">
        <v>6.49</v>
      </c>
      <c r="Z14" s="22">
        <v>151.47</v>
      </c>
      <c r="AA14" s="22">
        <v>-19.010000000000002</v>
      </c>
    </row>
    <row r="15" spans="1:27" x14ac:dyDescent="0.25">
      <c r="A15" s="18">
        <v>0.46</v>
      </c>
      <c r="B15" s="18">
        <v>306.39999999999998</v>
      </c>
      <c r="C15" s="18">
        <v>0.64</v>
      </c>
      <c r="D15" s="18">
        <v>3.21</v>
      </c>
      <c r="E15" s="18">
        <v>85.99</v>
      </c>
      <c r="F15" s="18">
        <v>-25.6</v>
      </c>
      <c r="H15" s="20">
        <v>0.46</v>
      </c>
      <c r="I15" s="20">
        <v>306.39999999999998</v>
      </c>
      <c r="J15" s="20">
        <v>0.73</v>
      </c>
      <c r="K15" s="20">
        <v>3.29</v>
      </c>
      <c r="L15" s="20">
        <v>77.099999999999994</v>
      </c>
      <c r="M15" s="20">
        <v>-24.76</v>
      </c>
      <c r="O15" s="24">
        <v>0.47</v>
      </c>
      <c r="P15" s="24">
        <v>302.39999999999998</v>
      </c>
      <c r="Q15" s="24">
        <v>2.99</v>
      </c>
      <c r="R15" s="24">
        <v>0.56000000000000005</v>
      </c>
      <c r="S15" s="24">
        <v>46.9</v>
      </c>
      <c r="T15" s="24">
        <v>-44.24</v>
      </c>
      <c r="V15" s="22">
        <v>0.47</v>
      </c>
      <c r="W15" s="22">
        <v>302.39999999999998</v>
      </c>
      <c r="X15" s="22">
        <v>0.11</v>
      </c>
      <c r="Y15" s="22">
        <v>6.68</v>
      </c>
      <c r="Z15" s="22">
        <v>125.55</v>
      </c>
      <c r="AA15" s="22">
        <v>-16.68</v>
      </c>
    </row>
    <row r="16" spans="1:27" x14ac:dyDescent="0.25">
      <c r="A16" s="18">
        <v>0.39</v>
      </c>
      <c r="B16" s="18">
        <v>306.2</v>
      </c>
      <c r="C16" s="18">
        <v>0.59</v>
      </c>
      <c r="D16" s="18">
        <v>3.36</v>
      </c>
      <c r="E16" s="18">
        <v>71.12</v>
      </c>
      <c r="F16" s="18">
        <v>-22.15</v>
      </c>
      <c r="H16" s="20">
        <v>0.39</v>
      </c>
      <c r="I16" s="20">
        <v>306.2</v>
      </c>
      <c r="J16" s="20">
        <v>0.68</v>
      </c>
      <c r="K16" s="20">
        <v>3.44</v>
      </c>
      <c r="L16" s="20">
        <v>63.98</v>
      </c>
      <c r="M16" s="20">
        <v>-21.42</v>
      </c>
      <c r="O16" s="24">
        <v>0.4</v>
      </c>
      <c r="P16" s="24">
        <v>302.2</v>
      </c>
      <c r="Q16" s="24">
        <v>2.85</v>
      </c>
      <c r="R16" s="24">
        <v>0.61</v>
      </c>
      <c r="S16" s="24">
        <v>39.64</v>
      </c>
      <c r="T16" s="24">
        <v>-39.04</v>
      </c>
      <c r="V16" s="22">
        <v>0.4</v>
      </c>
      <c r="W16" s="22">
        <v>302.2</v>
      </c>
      <c r="X16" s="22">
        <v>0.1</v>
      </c>
      <c r="Y16" s="22">
        <v>6.86</v>
      </c>
      <c r="Z16" s="22">
        <v>101.93</v>
      </c>
      <c r="AA16" s="22">
        <v>-14.33</v>
      </c>
    </row>
    <row r="17" spans="1:27" x14ac:dyDescent="0.25">
      <c r="A17" s="18">
        <v>0.33</v>
      </c>
      <c r="B17" s="18">
        <v>306</v>
      </c>
      <c r="C17" s="18">
        <v>0.54</v>
      </c>
      <c r="D17" s="18">
        <v>3.51</v>
      </c>
      <c r="E17" s="18">
        <v>57.17</v>
      </c>
      <c r="F17" s="18">
        <v>-18.62</v>
      </c>
      <c r="H17" s="20">
        <v>0.33</v>
      </c>
      <c r="I17" s="20">
        <v>306</v>
      </c>
      <c r="J17" s="20">
        <v>0.62</v>
      </c>
      <c r="K17" s="20">
        <v>3.58</v>
      </c>
      <c r="L17" s="20">
        <v>51.6</v>
      </c>
      <c r="M17" s="20">
        <v>-18.010000000000002</v>
      </c>
      <c r="O17" s="24">
        <v>0.33</v>
      </c>
      <c r="P17" s="24">
        <v>302</v>
      </c>
      <c r="Q17" s="24">
        <v>2.7</v>
      </c>
      <c r="R17" s="24">
        <v>0.67</v>
      </c>
      <c r="S17" s="24">
        <v>32.57</v>
      </c>
      <c r="T17" s="24">
        <v>-33.49</v>
      </c>
      <c r="V17" s="22">
        <v>0.33</v>
      </c>
      <c r="W17" s="22">
        <v>302</v>
      </c>
      <c r="X17" s="22">
        <v>0.09</v>
      </c>
      <c r="Y17" s="22">
        <v>7.05</v>
      </c>
      <c r="Z17" s="22">
        <v>80.45</v>
      </c>
      <c r="AA17" s="22">
        <v>-11.97</v>
      </c>
    </row>
    <row r="18" spans="1:27" x14ac:dyDescent="0.25">
      <c r="A18" s="18">
        <v>0.26</v>
      </c>
      <c r="B18" s="18">
        <v>305.8</v>
      </c>
      <c r="C18" s="18">
        <v>0.5</v>
      </c>
      <c r="D18" s="18">
        <v>3.66</v>
      </c>
      <c r="E18" s="18">
        <v>44.1</v>
      </c>
      <c r="F18" s="18">
        <v>-15.03</v>
      </c>
      <c r="H18" s="20">
        <v>0.26</v>
      </c>
      <c r="I18" s="20">
        <v>305.8</v>
      </c>
      <c r="J18" s="20">
        <v>0.57999999999999996</v>
      </c>
      <c r="K18" s="20">
        <v>3.74</v>
      </c>
      <c r="L18" s="20">
        <v>39.93</v>
      </c>
      <c r="M18" s="20">
        <v>-14.54</v>
      </c>
      <c r="O18" s="24">
        <v>0.27</v>
      </c>
      <c r="P18" s="24">
        <v>301.8</v>
      </c>
      <c r="Q18" s="24">
        <v>2.56</v>
      </c>
      <c r="R18" s="24">
        <v>0.73</v>
      </c>
      <c r="S18" s="24">
        <v>25.67</v>
      </c>
      <c r="T18" s="24">
        <v>-27.57</v>
      </c>
      <c r="V18" s="22">
        <v>0.27</v>
      </c>
      <c r="W18" s="22">
        <v>301.8</v>
      </c>
      <c r="X18" s="22">
        <v>0.08</v>
      </c>
      <c r="Y18" s="22">
        <v>7.24</v>
      </c>
      <c r="Z18" s="22">
        <v>60.96</v>
      </c>
      <c r="AA18" s="22">
        <v>-9.6</v>
      </c>
    </row>
    <row r="19" spans="1:27" x14ac:dyDescent="0.25">
      <c r="A19" s="18">
        <v>0.2</v>
      </c>
      <c r="B19" s="18">
        <v>305.60000000000002</v>
      </c>
      <c r="C19" s="18">
        <v>0.46</v>
      </c>
      <c r="D19" s="18">
        <v>3.82</v>
      </c>
      <c r="E19" s="18">
        <v>31.88</v>
      </c>
      <c r="F19" s="18">
        <v>-11.37</v>
      </c>
      <c r="H19" s="20">
        <v>0.2</v>
      </c>
      <c r="I19" s="20">
        <v>305.60000000000002</v>
      </c>
      <c r="J19" s="20">
        <v>0.53</v>
      </c>
      <c r="K19" s="20">
        <v>3.89</v>
      </c>
      <c r="L19" s="20">
        <v>28.97</v>
      </c>
      <c r="M19" s="20">
        <v>-11</v>
      </c>
      <c r="O19" s="24">
        <v>0.2</v>
      </c>
      <c r="P19" s="24">
        <v>301.60000000000002</v>
      </c>
      <c r="Q19" s="24">
        <v>2.42</v>
      </c>
      <c r="R19" s="24">
        <v>0.79</v>
      </c>
      <c r="S19" s="24">
        <v>18.96</v>
      </c>
      <c r="T19" s="24">
        <v>-21.27</v>
      </c>
      <c r="V19" s="22">
        <v>0.2</v>
      </c>
      <c r="W19" s="22">
        <v>301.60000000000002</v>
      </c>
      <c r="X19" s="22">
        <v>7.0000000000000007E-2</v>
      </c>
      <c r="Y19" s="22">
        <v>7.43</v>
      </c>
      <c r="Z19" s="22">
        <v>43.31</v>
      </c>
      <c r="AA19" s="22">
        <v>-7.21</v>
      </c>
    </row>
    <row r="20" spans="1:27" x14ac:dyDescent="0.25">
      <c r="A20" s="18">
        <v>0.13</v>
      </c>
      <c r="B20" s="18">
        <v>305.39999999999998</v>
      </c>
      <c r="C20" s="18">
        <v>0.42</v>
      </c>
      <c r="D20" s="18">
        <v>3.98</v>
      </c>
      <c r="E20" s="18">
        <v>20.48</v>
      </c>
      <c r="F20" s="18">
        <v>-7.64</v>
      </c>
      <c r="H20" s="20">
        <v>0.13</v>
      </c>
      <c r="I20" s="20">
        <v>305.39999999999998</v>
      </c>
      <c r="J20" s="20">
        <v>0.49</v>
      </c>
      <c r="K20" s="20">
        <v>4.05</v>
      </c>
      <c r="L20" s="20">
        <v>18.670000000000002</v>
      </c>
      <c r="M20" s="20">
        <v>-7.39</v>
      </c>
      <c r="O20" s="24">
        <v>0.13</v>
      </c>
      <c r="P20" s="24">
        <v>301.39999999999998</v>
      </c>
      <c r="Q20" s="24">
        <v>2.29</v>
      </c>
      <c r="R20" s="24">
        <v>0.86</v>
      </c>
      <c r="S20" s="24">
        <v>12.44</v>
      </c>
      <c r="T20" s="24">
        <v>-14.58</v>
      </c>
      <c r="V20" s="22">
        <v>0.13</v>
      </c>
      <c r="W20" s="22">
        <v>301.39999999999998</v>
      </c>
      <c r="X20" s="22">
        <v>0.06</v>
      </c>
      <c r="Y20" s="22">
        <v>7.63</v>
      </c>
      <c r="Z20" s="22">
        <v>27.35</v>
      </c>
      <c r="AA20" s="22">
        <v>-4.82</v>
      </c>
    </row>
    <row r="21" spans="1:27" x14ac:dyDescent="0.25">
      <c r="A21" s="18">
        <v>7.0000000000000007E-2</v>
      </c>
      <c r="B21" s="18">
        <v>305.2</v>
      </c>
      <c r="C21" s="18">
        <v>0.38</v>
      </c>
      <c r="D21" s="18">
        <v>4.1399999999999997</v>
      </c>
      <c r="E21" s="18">
        <v>9.86</v>
      </c>
      <c r="F21" s="18">
        <v>-3.85</v>
      </c>
      <c r="H21" s="20">
        <v>7.0000000000000007E-2</v>
      </c>
      <c r="I21" s="20">
        <v>305.2</v>
      </c>
      <c r="J21" s="20">
        <v>0.45</v>
      </c>
      <c r="K21" s="20">
        <v>4.21</v>
      </c>
      <c r="L21" s="20">
        <v>9.02</v>
      </c>
      <c r="M21" s="20">
        <v>-3.72</v>
      </c>
      <c r="O21" s="24">
        <v>7.0000000000000007E-2</v>
      </c>
      <c r="P21" s="24">
        <v>301.2</v>
      </c>
      <c r="Q21" s="24">
        <v>2.16</v>
      </c>
      <c r="R21" s="24">
        <v>0.93</v>
      </c>
      <c r="S21" s="24">
        <v>6.12</v>
      </c>
      <c r="T21" s="24">
        <v>-7.5</v>
      </c>
      <c r="V21" s="22">
        <v>7.0000000000000007E-2</v>
      </c>
      <c r="W21" s="22">
        <v>301.2</v>
      </c>
      <c r="X21" s="22">
        <v>0.06</v>
      </c>
      <c r="Y21" s="22">
        <v>7.82</v>
      </c>
      <c r="Z21" s="22">
        <v>12.96</v>
      </c>
      <c r="AA21" s="22">
        <v>-2.41</v>
      </c>
    </row>
    <row r="22" spans="1:27" x14ac:dyDescent="0.25">
      <c r="A22" s="18">
        <v>0</v>
      </c>
      <c r="B22" s="18">
        <v>305</v>
      </c>
      <c r="C22" s="18">
        <v>0.35</v>
      </c>
      <c r="D22" s="18">
        <v>4.3099999999999996</v>
      </c>
      <c r="E22" s="18">
        <v>0</v>
      </c>
      <c r="F22" s="18">
        <v>0</v>
      </c>
      <c r="H22" s="20">
        <v>0</v>
      </c>
      <c r="I22" s="20">
        <v>305</v>
      </c>
      <c r="J22" s="20">
        <v>0.41</v>
      </c>
      <c r="K22" s="20">
        <v>4.37</v>
      </c>
      <c r="L22" s="20">
        <v>0</v>
      </c>
      <c r="M22" s="20">
        <v>0</v>
      </c>
      <c r="O22" s="24">
        <v>0</v>
      </c>
      <c r="P22" s="24">
        <v>301</v>
      </c>
      <c r="Q22" s="24">
        <v>2.04</v>
      </c>
      <c r="R22" s="24">
        <v>1</v>
      </c>
      <c r="S22" s="24">
        <v>0</v>
      </c>
      <c r="T22" s="24">
        <v>0</v>
      </c>
      <c r="V22" s="22">
        <v>0</v>
      </c>
      <c r="W22" s="22">
        <v>301</v>
      </c>
      <c r="X22" s="22">
        <v>0.05</v>
      </c>
      <c r="Y22" s="22">
        <v>8.01</v>
      </c>
      <c r="Z22" s="22">
        <v>0</v>
      </c>
      <c r="AA22" s="22">
        <v>0</v>
      </c>
    </row>
    <row r="23" spans="1:27" x14ac:dyDescent="0.25">
      <c r="A23" s="18">
        <v>-7.0000000000000007E-2</v>
      </c>
      <c r="B23" s="18">
        <v>304.8</v>
      </c>
      <c r="C23" s="18">
        <v>0.31</v>
      </c>
      <c r="D23" s="18">
        <v>4.4800000000000004</v>
      </c>
      <c r="E23" s="18">
        <v>-9.15</v>
      </c>
      <c r="F23" s="18">
        <v>3.91</v>
      </c>
      <c r="H23" s="20">
        <v>-7.0000000000000007E-2</v>
      </c>
      <c r="I23" s="20">
        <v>304.8</v>
      </c>
      <c r="J23" s="20">
        <v>0.38</v>
      </c>
      <c r="K23" s="20">
        <v>4.54</v>
      </c>
      <c r="L23" s="20">
        <v>-8.43</v>
      </c>
      <c r="M23" s="20">
        <v>3.78</v>
      </c>
      <c r="O23" s="24">
        <v>-7.0000000000000007E-2</v>
      </c>
      <c r="P23" s="24">
        <v>300.8</v>
      </c>
      <c r="Q23" s="24">
        <v>1.92</v>
      </c>
      <c r="R23" s="24">
        <v>1.08</v>
      </c>
      <c r="S23" s="24">
        <v>-5.92</v>
      </c>
      <c r="T23" s="24">
        <v>7.91</v>
      </c>
      <c r="V23" s="22">
        <v>-7.0000000000000007E-2</v>
      </c>
      <c r="W23" s="22">
        <v>300.8</v>
      </c>
      <c r="X23" s="22">
        <v>0.04</v>
      </c>
      <c r="Y23" s="22">
        <v>8.2100000000000009</v>
      </c>
      <c r="Z23" s="22">
        <v>-11.64</v>
      </c>
      <c r="AA23" s="22">
        <v>2.42</v>
      </c>
    </row>
    <row r="24" spans="1:27" x14ac:dyDescent="0.25">
      <c r="A24" s="18">
        <v>-0.13</v>
      </c>
      <c r="B24" s="18">
        <v>304.60000000000002</v>
      </c>
      <c r="C24" s="18">
        <v>0.28000000000000003</v>
      </c>
      <c r="D24" s="18">
        <v>4.6500000000000004</v>
      </c>
      <c r="E24" s="18">
        <v>-17.61</v>
      </c>
      <c r="F24" s="18">
        <v>7.87</v>
      </c>
      <c r="H24" s="20">
        <v>-0.13</v>
      </c>
      <c r="I24" s="20">
        <v>304.60000000000002</v>
      </c>
      <c r="J24" s="20">
        <v>0.34</v>
      </c>
      <c r="K24" s="20">
        <v>4.71</v>
      </c>
      <c r="L24" s="20">
        <v>-16.28</v>
      </c>
      <c r="M24" s="20">
        <v>7.62</v>
      </c>
      <c r="O24" s="24">
        <v>-0.13</v>
      </c>
      <c r="P24" s="24">
        <v>300.60000000000002</v>
      </c>
      <c r="Q24" s="24">
        <v>1.8</v>
      </c>
      <c r="R24" s="24">
        <v>1.17</v>
      </c>
      <c r="S24" s="24">
        <v>-11.62</v>
      </c>
      <c r="T24" s="24">
        <v>16.239999999999998</v>
      </c>
      <c r="V24" s="22">
        <v>-0.13</v>
      </c>
      <c r="W24" s="22">
        <v>300.60000000000002</v>
      </c>
      <c r="X24" s="22">
        <v>0.04</v>
      </c>
      <c r="Y24" s="22">
        <v>8.4</v>
      </c>
      <c r="Z24" s="22">
        <v>-22.08</v>
      </c>
      <c r="AA24" s="22">
        <v>4.8499999999999996</v>
      </c>
    </row>
    <row r="25" spans="1:27" x14ac:dyDescent="0.25">
      <c r="A25" s="18">
        <v>-0.2</v>
      </c>
      <c r="B25" s="18">
        <v>304.39999999999998</v>
      </c>
      <c r="C25" s="18">
        <v>0.26</v>
      </c>
      <c r="D25" s="18">
        <v>4.82</v>
      </c>
      <c r="E25" s="18">
        <v>-25.43</v>
      </c>
      <c r="F25" s="18">
        <v>11.88</v>
      </c>
      <c r="H25" s="20">
        <v>-0.2</v>
      </c>
      <c r="I25" s="20">
        <v>304.39999999999998</v>
      </c>
      <c r="J25" s="20">
        <v>0.31</v>
      </c>
      <c r="K25" s="20">
        <v>4.88</v>
      </c>
      <c r="L25" s="20">
        <v>-23.59</v>
      </c>
      <c r="M25" s="20">
        <v>11.5</v>
      </c>
      <c r="O25" s="24">
        <v>-0.2</v>
      </c>
      <c r="P25" s="24">
        <v>300.39999999999998</v>
      </c>
      <c r="Q25" s="24">
        <v>1.69</v>
      </c>
      <c r="R25" s="24">
        <v>1.26</v>
      </c>
      <c r="S25" s="24">
        <v>-17.12</v>
      </c>
      <c r="T25" s="24">
        <v>25</v>
      </c>
      <c r="V25" s="22">
        <v>-0.2</v>
      </c>
      <c r="W25" s="22">
        <v>300.39999999999998</v>
      </c>
      <c r="X25" s="22">
        <v>0.03</v>
      </c>
      <c r="Y25" s="22">
        <v>8.6</v>
      </c>
      <c r="Z25" s="22">
        <v>-31.41</v>
      </c>
      <c r="AA25" s="22">
        <v>7.29</v>
      </c>
    </row>
    <row r="26" spans="1:27" x14ac:dyDescent="0.25">
      <c r="A26" s="18">
        <v>-0.26</v>
      </c>
      <c r="B26" s="18">
        <v>304.2</v>
      </c>
      <c r="C26" s="18">
        <v>0.23</v>
      </c>
      <c r="D26" s="18">
        <v>5</v>
      </c>
      <c r="E26" s="18">
        <v>-32.64</v>
      </c>
      <c r="F26" s="18">
        <v>15.95</v>
      </c>
      <c r="H26" s="20">
        <v>-0.26</v>
      </c>
      <c r="I26" s="20">
        <v>304.2</v>
      </c>
      <c r="J26" s="20">
        <v>0.28999999999999998</v>
      </c>
      <c r="K26" s="20">
        <v>5.05</v>
      </c>
      <c r="L26" s="20">
        <v>-30.38</v>
      </c>
      <c r="M26" s="20">
        <v>15.44</v>
      </c>
      <c r="O26" s="24">
        <v>-0.27</v>
      </c>
      <c r="P26" s="24">
        <v>300.2</v>
      </c>
      <c r="Q26" s="24">
        <v>1.58</v>
      </c>
      <c r="R26" s="24">
        <v>1.35</v>
      </c>
      <c r="S26" s="24">
        <v>-22.41</v>
      </c>
      <c r="T26" s="24">
        <v>34.19</v>
      </c>
      <c r="V26" s="22">
        <v>-0.27</v>
      </c>
      <c r="W26" s="22">
        <v>300.2</v>
      </c>
      <c r="X26" s="22">
        <v>0.03</v>
      </c>
      <c r="Y26" s="22">
        <v>8.7899999999999991</v>
      </c>
      <c r="Z26" s="22">
        <v>-39.75</v>
      </c>
      <c r="AA26" s="22">
        <v>9.73</v>
      </c>
    </row>
    <row r="27" spans="1:27" x14ac:dyDescent="0.25">
      <c r="A27" s="18">
        <v>-0.33</v>
      </c>
      <c r="B27" s="18">
        <v>304</v>
      </c>
      <c r="C27" s="18">
        <v>0.21</v>
      </c>
      <c r="D27" s="18">
        <v>5.17</v>
      </c>
      <c r="E27" s="18">
        <v>-39.270000000000003</v>
      </c>
      <c r="F27" s="18">
        <v>20.059999999999999</v>
      </c>
      <c r="H27" s="20">
        <v>-0.33</v>
      </c>
      <c r="I27" s="20">
        <v>304</v>
      </c>
      <c r="J27" s="20">
        <v>0.26</v>
      </c>
      <c r="K27" s="20">
        <v>5.22</v>
      </c>
      <c r="L27" s="20">
        <v>-36.67</v>
      </c>
      <c r="M27" s="20">
        <v>19.420000000000002</v>
      </c>
      <c r="O27" s="24">
        <v>-0.33</v>
      </c>
      <c r="P27" s="24">
        <v>300</v>
      </c>
      <c r="Q27" s="24">
        <v>1.48</v>
      </c>
      <c r="R27" s="24">
        <v>1.44</v>
      </c>
      <c r="S27" s="24">
        <v>-27.48</v>
      </c>
      <c r="T27" s="24">
        <v>43.81</v>
      </c>
      <c r="V27" s="22">
        <v>-0.33</v>
      </c>
      <c r="W27" s="22">
        <v>300</v>
      </c>
      <c r="X27" s="22">
        <v>0.03</v>
      </c>
      <c r="Y27" s="22">
        <v>8.99</v>
      </c>
      <c r="Z27" s="22">
        <v>-47.18</v>
      </c>
      <c r="AA27" s="22">
        <v>12.18</v>
      </c>
    </row>
    <row r="28" spans="1:27" x14ac:dyDescent="0.25">
      <c r="A28" s="18">
        <v>-0.39</v>
      </c>
      <c r="B28" s="18">
        <v>303.8</v>
      </c>
      <c r="C28" s="18">
        <v>0.19</v>
      </c>
      <c r="D28" s="18">
        <v>5.35</v>
      </c>
      <c r="E28" s="18">
        <v>-45.35</v>
      </c>
      <c r="F28" s="18">
        <v>24.21</v>
      </c>
      <c r="H28" s="20">
        <v>-0.39</v>
      </c>
      <c r="I28" s="20">
        <v>303.8</v>
      </c>
      <c r="J28" s="20">
        <v>0.24</v>
      </c>
      <c r="K28" s="20">
        <v>5.4</v>
      </c>
      <c r="L28" s="20">
        <v>-42.49</v>
      </c>
      <c r="M28" s="20">
        <v>23.45</v>
      </c>
      <c r="O28" s="24">
        <v>-0.4</v>
      </c>
      <c r="P28" s="24">
        <v>299.8</v>
      </c>
      <c r="Q28" s="24">
        <v>1.38</v>
      </c>
      <c r="R28" s="24">
        <v>1.54</v>
      </c>
      <c r="S28" s="24">
        <v>-32.340000000000003</v>
      </c>
      <c r="T28" s="24">
        <v>53.86</v>
      </c>
      <c r="V28" s="22">
        <v>-0.4</v>
      </c>
      <c r="W28" s="22">
        <v>299.8</v>
      </c>
      <c r="X28" s="22">
        <v>0.02</v>
      </c>
      <c r="Y28" s="22">
        <v>9.18</v>
      </c>
      <c r="Z28" s="22">
        <v>-53.78</v>
      </c>
      <c r="AA28" s="22">
        <v>14.64</v>
      </c>
    </row>
    <row r="29" spans="1:27" x14ac:dyDescent="0.25">
      <c r="A29" s="18">
        <v>-0.46</v>
      </c>
      <c r="B29" s="18">
        <v>303.60000000000002</v>
      </c>
      <c r="C29" s="18">
        <v>0.17</v>
      </c>
      <c r="D29" s="18">
        <v>5.53</v>
      </c>
      <c r="E29" s="18">
        <v>-50.92</v>
      </c>
      <c r="F29" s="18">
        <v>28.4</v>
      </c>
      <c r="H29" s="20">
        <v>-0.46</v>
      </c>
      <c r="I29" s="20">
        <v>303.60000000000002</v>
      </c>
      <c r="J29" s="20">
        <v>0.21</v>
      </c>
      <c r="K29" s="20">
        <v>5.58</v>
      </c>
      <c r="L29" s="20">
        <v>-47.86</v>
      </c>
      <c r="M29" s="20">
        <v>27.51</v>
      </c>
      <c r="O29" s="24">
        <v>-0.47</v>
      </c>
      <c r="P29" s="24">
        <v>299.60000000000002</v>
      </c>
      <c r="Q29" s="24">
        <v>1.28</v>
      </c>
      <c r="R29" s="24">
        <v>1.65</v>
      </c>
      <c r="S29" s="24">
        <v>-36.99</v>
      </c>
      <c r="T29" s="24">
        <v>64.349999999999994</v>
      </c>
      <c r="V29" s="22">
        <v>-0.47</v>
      </c>
      <c r="W29" s="22">
        <v>299.60000000000002</v>
      </c>
      <c r="X29" s="22">
        <v>0.02</v>
      </c>
      <c r="Y29" s="22">
        <v>9.3800000000000008</v>
      </c>
      <c r="Z29" s="22">
        <v>-59.64</v>
      </c>
      <c r="AA29" s="22">
        <v>17.100000000000001</v>
      </c>
    </row>
    <row r="30" spans="1:27" x14ac:dyDescent="0.25">
      <c r="A30" s="18">
        <v>-0.52</v>
      </c>
      <c r="B30" s="18">
        <v>303.39999999999998</v>
      </c>
      <c r="C30" s="18">
        <v>0.15</v>
      </c>
      <c r="D30" s="18">
        <v>5.72</v>
      </c>
      <c r="E30" s="18">
        <v>-56.01</v>
      </c>
      <c r="F30" s="18">
        <v>32.64</v>
      </c>
      <c r="H30" s="20">
        <v>-0.52</v>
      </c>
      <c r="I30" s="20">
        <v>303.39999999999998</v>
      </c>
      <c r="J30" s="20">
        <v>0.19</v>
      </c>
      <c r="K30" s="20">
        <v>5.75</v>
      </c>
      <c r="L30" s="20">
        <v>-52.82</v>
      </c>
      <c r="M30" s="20">
        <v>31.62</v>
      </c>
      <c r="O30" s="24">
        <v>-0.53</v>
      </c>
      <c r="P30" s="24">
        <v>299.39999999999998</v>
      </c>
      <c r="Q30" s="24">
        <v>1.19</v>
      </c>
      <c r="R30" s="24">
        <v>1.76</v>
      </c>
      <c r="S30" s="24">
        <v>-41.42</v>
      </c>
      <c r="T30" s="24">
        <v>75.27</v>
      </c>
      <c r="V30" s="22">
        <v>-0.53</v>
      </c>
      <c r="W30" s="22">
        <v>299.39999999999998</v>
      </c>
      <c r="X30" s="22">
        <v>0.02</v>
      </c>
      <c r="Y30" s="22">
        <v>9.58</v>
      </c>
      <c r="Z30" s="22">
        <v>-64.819999999999993</v>
      </c>
      <c r="AA30" s="22">
        <v>19.559999999999999</v>
      </c>
    </row>
    <row r="31" spans="1:27" x14ac:dyDescent="0.25">
      <c r="A31" s="18">
        <v>-0.59</v>
      </c>
      <c r="B31" s="18">
        <v>303.2</v>
      </c>
      <c r="C31" s="18">
        <v>0.14000000000000001</v>
      </c>
      <c r="D31" s="18">
        <v>5.9</v>
      </c>
      <c r="E31" s="18">
        <v>-60.65</v>
      </c>
      <c r="F31" s="18">
        <v>36.9</v>
      </c>
      <c r="H31" s="20">
        <v>-0.59</v>
      </c>
      <c r="I31" s="20">
        <v>303.2</v>
      </c>
      <c r="J31" s="20">
        <v>0.18</v>
      </c>
      <c r="K31" s="20">
        <v>5.94</v>
      </c>
      <c r="L31" s="20">
        <v>-57.38</v>
      </c>
      <c r="M31" s="20">
        <v>35.770000000000003</v>
      </c>
      <c r="O31" s="24">
        <v>-0.6</v>
      </c>
      <c r="P31" s="24">
        <v>299.2</v>
      </c>
      <c r="Q31" s="24">
        <v>1.1100000000000001</v>
      </c>
      <c r="R31" s="24">
        <v>1.87</v>
      </c>
      <c r="S31" s="24">
        <v>-45.64</v>
      </c>
      <c r="T31" s="24">
        <v>86.62</v>
      </c>
      <c r="V31" s="22">
        <v>-0.6</v>
      </c>
      <c r="W31" s="22">
        <v>299.2</v>
      </c>
      <c r="X31" s="22">
        <v>0.02</v>
      </c>
      <c r="Y31" s="22">
        <v>9.7799999999999994</v>
      </c>
      <c r="Z31" s="22">
        <v>-69.400000000000006</v>
      </c>
      <c r="AA31" s="22">
        <v>22.03</v>
      </c>
    </row>
    <row r="32" spans="1:27" x14ac:dyDescent="0.25">
      <c r="A32" s="18">
        <v>-0.66</v>
      </c>
      <c r="B32" s="18">
        <v>303</v>
      </c>
      <c r="C32" s="18">
        <v>0.12</v>
      </c>
      <c r="D32" s="18">
        <v>6.09</v>
      </c>
      <c r="E32" s="18">
        <v>-64.88</v>
      </c>
      <c r="F32" s="18">
        <v>41.21</v>
      </c>
      <c r="H32" s="20">
        <v>-0.66</v>
      </c>
      <c r="I32" s="20">
        <v>303</v>
      </c>
      <c r="J32" s="20">
        <v>0.16</v>
      </c>
      <c r="K32" s="20">
        <v>6.12</v>
      </c>
      <c r="L32" s="20">
        <v>-61.57</v>
      </c>
      <c r="M32" s="20">
        <v>39.950000000000003</v>
      </c>
      <c r="O32" s="24">
        <v>-0.66</v>
      </c>
      <c r="P32" s="24">
        <v>299</v>
      </c>
      <c r="Q32" s="24">
        <v>1.03</v>
      </c>
      <c r="R32" s="24">
        <v>1.99</v>
      </c>
      <c r="S32" s="24">
        <v>-49.65</v>
      </c>
      <c r="T32" s="24">
        <v>98.39</v>
      </c>
      <c r="V32" s="22">
        <v>-0.66</v>
      </c>
      <c r="W32" s="22">
        <v>299</v>
      </c>
      <c r="X32" s="22">
        <v>0.01</v>
      </c>
      <c r="Y32" s="22">
        <v>9.9700000000000006</v>
      </c>
      <c r="Z32" s="22">
        <v>-73.44</v>
      </c>
      <c r="AA32" s="22">
        <v>24.5</v>
      </c>
    </row>
    <row r="33" spans="1:27" x14ac:dyDescent="0.25">
      <c r="A33" s="18">
        <v>-0.72</v>
      </c>
      <c r="B33" s="18">
        <v>302.8</v>
      </c>
      <c r="C33" s="18">
        <v>0.11</v>
      </c>
      <c r="D33" s="18">
        <v>6.27</v>
      </c>
      <c r="E33" s="18">
        <v>-68.709999999999994</v>
      </c>
      <c r="F33" s="18">
        <v>45.54</v>
      </c>
      <c r="H33" s="20">
        <v>-0.72</v>
      </c>
      <c r="I33" s="20">
        <v>302.8</v>
      </c>
      <c r="J33" s="20">
        <v>0.14000000000000001</v>
      </c>
      <c r="K33" s="20">
        <v>6.3</v>
      </c>
      <c r="L33" s="20">
        <v>-65.400000000000006</v>
      </c>
      <c r="M33" s="20">
        <v>44.16</v>
      </c>
      <c r="O33" s="24">
        <v>-0.73</v>
      </c>
      <c r="P33" s="24">
        <v>298.8</v>
      </c>
      <c r="Q33" s="24">
        <v>0.95</v>
      </c>
      <c r="R33" s="24">
        <v>2.11</v>
      </c>
      <c r="S33" s="24">
        <v>-53.46</v>
      </c>
      <c r="T33" s="24">
        <v>110.59</v>
      </c>
      <c r="V33" s="22">
        <v>-0.73</v>
      </c>
      <c r="W33" s="22">
        <v>298.8</v>
      </c>
      <c r="X33" s="22">
        <v>0.01</v>
      </c>
      <c r="Y33" s="22">
        <v>10.17</v>
      </c>
      <c r="Z33" s="22">
        <v>-77</v>
      </c>
      <c r="AA33" s="22">
        <v>26.97</v>
      </c>
    </row>
    <row r="34" spans="1:27" x14ac:dyDescent="0.25">
      <c r="A34" s="18">
        <v>-0.79</v>
      </c>
      <c r="B34" s="18">
        <v>302.60000000000002</v>
      </c>
      <c r="C34" s="18">
        <v>0.1</v>
      </c>
      <c r="D34" s="18">
        <v>6.46</v>
      </c>
      <c r="E34" s="18">
        <v>-72.180000000000007</v>
      </c>
      <c r="F34" s="18">
        <v>49.9</v>
      </c>
      <c r="H34" s="20">
        <v>-0.79</v>
      </c>
      <c r="I34" s="20">
        <v>302.60000000000002</v>
      </c>
      <c r="J34" s="20">
        <v>0.13</v>
      </c>
      <c r="K34" s="20">
        <v>6.49</v>
      </c>
      <c r="L34" s="20">
        <v>-68.91</v>
      </c>
      <c r="M34" s="20">
        <v>48.4</v>
      </c>
      <c r="O34" s="24">
        <v>-0.8</v>
      </c>
      <c r="P34" s="24">
        <v>298.60000000000002</v>
      </c>
      <c r="Q34" s="24">
        <v>0.88</v>
      </c>
      <c r="R34" s="24">
        <v>2.2400000000000002</v>
      </c>
      <c r="S34" s="24">
        <v>-57.06</v>
      </c>
      <c r="T34" s="24">
        <v>123.2</v>
      </c>
      <c r="V34" s="22">
        <v>-0.8</v>
      </c>
      <c r="W34" s="22">
        <v>298.60000000000002</v>
      </c>
      <c r="X34" s="22">
        <v>0.01</v>
      </c>
      <c r="Y34" s="22">
        <v>10.37</v>
      </c>
      <c r="Z34" s="22">
        <v>-80.11</v>
      </c>
      <c r="AA34" s="22">
        <v>29.45</v>
      </c>
    </row>
    <row r="51" spans="1:2" x14ac:dyDescent="0.25">
      <c r="A51" s="29"/>
    </row>
    <row r="52" spans="1:2" x14ac:dyDescent="0.25">
      <c r="A52" s="29"/>
    </row>
    <row r="53" spans="1:2" x14ac:dyDescent="0.25">
      <c r="A53" s="29"/>
    </row>
    <row r="54" spans="1:2" x14ac:dyDescent="0.25">
      <c r="A54" s="29"/>
    </row>
    <row r="55" spans="1:2" x14ac:dyDescent="0.25">
      <c r="A55" s="29"/>
      <c r="B55" s="30"/>
    </row>
    <row r="56" spans="1:2" x14ac:dyDescent="0.25">
      <c r="A56" s="29"/>
      <c r="B56" s="30"/>
    </row>
    <row r="57" spans="1:2" x14ac:dyDescent="0.25">
      <c r="A57" s="29"/>
    </row>
    <row r="58" spans="1:2" x14ac:dyDescent="0.25">
      <c r="A58" s="29"/>
      <c r="B58" s="30"/>
    </row>
    <row r="59" spans="1:2" x14ac:dyDescent="0.25">
      <c r="A59" s="29"/>
    </row>
    <row r="60" spans="1:2" x14ac:dyDescent="0.25">
      <c r="A60" s="29"/>
    </row>
    <row r="61" spans="1:2" x14ac:dyDescent="0.25">
      <c r="A61" s="29"/>
      <c r="B61" s="30"/>
    </row>
    <row r="62" spans="1:2" x14ac:dyDescent="0.25">
      <c r="A62" s="29"/>
    </row>
    <row r="63" spans="1:2" x14ac:dyDescent="0.25">
      <c r="A63" s="29"/>
    </row>
    <row r="64" spans="1:2" x14ac:dyDescent="0.25">
      <c r="A64" s="29"/>
      <c r="B64" s="30"/>
    </row>
    <row r="65" spans="1:2" x14ac:dyDescent="0.25">
      <c r="A65" s="29"/>
    </row>
    <row r="66" spans="1:2" x14ac:dyDescent="0.25">
      <c r="A66" s="29"/>
      <c r="B66" s="30"/>
    </row>
    <row r="67" spans="1:2" x14ac:dyDescent="0.25">
      <c r="A67" s="29"/>
    </row>
    <row r="68" spans="1:2" x14ac:dyDescent="0.25">
      <c r="A68" s="29"/>
      <c r="B68" s="30"/>
    </row>
    <row r="69" spans="1:2" x14ac:dyDescent="0.25">
      <c r="A69" s="29"/>
      <c r="B69" s="30"/>
    </row>
    <row r="70" spans="1:2" x14ac:dyDescent="0.25">
      <c r="A70" s="29"/>
      <c r="B70" s="30"/>
    </row>
    <row r="71" spans="1:2" x14ac:dyDescent="0.25">
      <c r="A71" s="29"/>
      <c r="B71" s="30"/>
    </row>
    <row r="72" spans="1:2" x14ac:dyDescent="0.25">
      <c r="A72" s="29"/>
    </row>
    <row r="73" spans="1:2" x14ac:dyDescent="0.25">
      <c r="A73" s="29"/>
    </row>
    <row r="74" spans="1:2" x14ac:dyDescent="0.25">
      <c r="A74" s="29"/>
      <c r="B74" s="30"/>
    </row>
    <row r="75" spans="1:2" x14ac:dyDescent="0.25">
      <c r="A75" s="29"/>
    </row>
    <row r="76" spans="1:2" x14ac:dyDescent="0.25">
      <c r="A76" s="29"/>
    </row>
    <row r="77" spans="1:2" x14ac:dyDescent="0.25">
      <c r="A77" s="29"/>
      <c r="B77" s="30"/>
    </row>
    <row r="78" spans="1:2" x14ac:dyDescent="0.25">
      <c r="A78" s="29"/>
    </row>
    <row r="79" spans="1:2" x14ac:dyDescent="0.25">
      <c r="A79" s="29"/>
    </row>
    <row r="80" spans="1:2" x14ac:dyDescent="0.25">
      <c r="A80" s="29"/>
    </row>
    <row r="81" spans="1:2" x14ac:dyDescent="0.25">
      <c r="A81" s="29"/>
    </row>
    <row r="82" spans="1:2" x14ac:dyDescent="0.25">
      <c r="A82" s="29"/>
    </row>
    <row r="83" spans="1:2" x14ac:dyDescent="0.25">
      <c r="A83" s="29"/>
      <c r="B83" s="30"/>
    </row>
    <row r="84" spans="1:2" x14ac:dyDescent="0.25">
      <c r="A84" s="29"/>
      <c r="B84" s="30"/>
    </row>
    <row r="85" spans="1:2" x14ac:dyDescent="0.25">
      <c r="A85" s="29"/>
    </row>
    <row r="86" spans="1:2" x14ac:dyDescent="0.25">
      <c r="A86" s="29"/>
      <c r="B86" s="30"/>
    </row>
    <row r="87" spans="1:2" x14ac:dyDescent="0.25">
      <c r="A87" s="29"/>
    </row>
    <row r="88" spans="1:2" x14ac:dyDescent="0.25">
      <c r="A88" s="29"/>
    </row>
    <row r="89" spans="1:2" x14ac:dyDescent="0.25">
      <c r="A89" s="29"/>
    </row>
    <row r="90" spans="1:2" x14ac:dyDescent="0.25">
      <c r="A90" s="29"/>
    </row>
    <row r="91" spans="1:2" x14ac:dyDescent="0.25">
      <c r="A91" s="29"/>
    </row>
    <row r="92" spans="1:2" x14ac:dyDescent="0.25">
      <c r="A92" s="29"/>
    </row>
    <row r="93" spans="1:2" x14ac:dyDescent="0.25">
      <c r="A93" s="29"/>
      <c r="B93" s="30"/>
    </row>
    <row r="94" spans="1:2" x14ac:dyDescent="0.25">
      <c r="A94" s="29"/>
      <c r="B94" s="30"/>
    </row>
    <row r="95" spans="1:2" x14ac:dyDescent="0.25">
      <c r="A95" s="29"/>
      <c r="B95" s="30"/>
    </row>
    <row r="96" spans="1:2" x14ac:dyDescent="0.25">
      <c r="A96" s="29"/>
    </row>
    <row r="97" spans="1:2" x14ac:dyDescent="0.25">
      <c r="A97" s="29"/>
    </row>
    <row r="98" spans="1:2" x14ac:dyDescent="0.25">
      <c r="A98" s="29"/>
    </row>
    <row r="99" spans="1:2" x14ac:dyDescent="0.25">
      <c r="A99" s="29"/>
      <c r="B99" s="30"/>
    </row>
    <row r="100" spans="1:2" x14ac:dyDescent="0.25">
      <c r="A100" s="29"/>
    </row>
    <row r="101" spans="1:2" x14ac:dyDescent="0.25">
      <c r="A101" s="29"/>
    </row>
    <row r="102" spans="1:2" x14ac:dyDescent="0.25">
      <c r="A102" s="29"/>
      <c r="B102" s="30"/>
    </row>
    <row r="103" spans="1:2" x14ac:dyDescent="0.25">
      <c r="A103" s="29"/>
      <c r="B103" s="30"/>
    </row>
    <row r="104" spans="1:2" x14ac:dyDescent="0.25">
      <c r="A104" s="29"/>
      <c r="B104" s="30"/>
    </row>
    <row r="105" spans="1:2" x14ac:dyDescent="0.25">
      <c r="A105" s="29"/>
    </row>
    <row r="106" spans="1:2" x14ac:dyDescent="0.25">
      <c r="A106" s="29"/>
    </row>
    <row r="107" spans="1:2" x14ac:dyDescent="0.25">
      <c r="A107" s="29"/>
      <c r="B107" s="30"/>
    </row>
    <row r="108" spans="1:2" x14ac:dyDescent="0.25">
      <c r="A108" s="29"/>
      <c r="B108" s="30"/>
    </row>
    <row r="109" spans="1:2" x14ac:dyDescent="0.25">
      <c r="A109" s="29"/>
      <c r="B109" s="30"/>
    </row>
    <row r="110" spans="1:2" x14ac:dyDescent="0.25">
      <c r="A110" s="29"/>
    </row>
    <row r="111" spans="1:2" x14ac:dyDescent="0.25">
      <c r="A111" s="29"/>
    </row>
    <row r="112" spans="1:2" x14ac:dyDescent="0.25">
      <c r="A112" s="29"/>
    </row>
    <row r="113" spans="1:2" x14ac:dyDescent="0.25">
      <c r="A113" s="29"/>
    </row>
    <row r="114" spans="1:2" x14ac:dyDescent="0.25">
      <c r="A114" s="29"/>
    </row>
    <row r="115" spans="1:2" x14ac:dyDescent="0.25">
      <c r="A115" s="29"/>
    </row>
    <row r="116" spans="1:2" x14ac:dyDescent="0.25">
      <c r="A116" s="29"/>
    </row>
    <row r="117" spans="1:2" x14ac:dyDescent="0.25">
      <c r="A117" s="29"/>
    </row>
    <row r="118" spans="1:2" x14ac:dyDescent="0.25">
      <c r="A118" s="29"/>
    </row>
    <row r="119" spans="1:2" x14ac:dyDescent="0.25">
      <c r="A119" s="29"/>
      <c r="B119" s="30"/>
    </row>
    <row r="120" spans="1:2" x14ac:dyDescent="0.25">
      <c r="A120" s="29"/>
      <c r="B120" s="30"/>
    </row>
    <row r="121" spans="1:2" x14ac:dyDescent="0.25">
      <c r="A121" s="29"/>
      <c r="B121" s="30"/>
    </row>
    <row r="122" spans="1:2" x14ac:dyDescent="0.25">
      <c r="A122" s="29"/>
    </row>
    <row r="123" spans="1:2" x14ac:dyDescent="0.25">
      <c r="A123" s="29"/>
    </row>
    <row r="124" spans="1:2" x14ac:dyDescent="0.25">
      <c r="A124" s="29"/>
    </row>
    <row r="125" spans="1:2" x14ac:dyDescent="0.25">
      <c r="A125" s="29"/>
    </row>
    <row r="126" spans="1:2" x14ac:dyDescent="0.25">
      <c r="A126" s="29"/>
    </row>
    <row r="127" spans="1:2" x14ac:dyDescent="0.25">
      <c r="A127" s="29"/>
    </row>
    <row r="128" spans="1:2" x14ac:dyDescent="0.25">
      <c r="A128" s="29"/>
    </row>
    <row r="129" spans="1:1" x14ac:dyDescent="0.25">
      <c r="A129" s="29"/>
    </row>
    <row r="130" spans="1:1" x14ac:dyDescent="0.25">
      <c r="A130" s="29"/>
    </row>
    <row r="131" spans="1:1" x14ac:dyDescent="0.25">
      <c r="A131" s="29"/>
    </row>
    <row r="132" spans="1:1" x14ac:dyDescent="0.25">
      <c r="A132" s="29"/>
    </row>
    <row r="133" spans="1:1" x14ac:dyDescent="0.25">
      <c r="A133" s="29"/>
    </row>
    <row r="134" spans="1:1" x14ac:dyDescent="0.25">
      <c r="A134" s="29"/>
    </row>
    <row r="135" spans="1:1" x14ac:dyDescent="0.25">
      <c r="A135" s="29"/>
    </row>
    <row r="136" spans="1:1" x14ac:dyDescent="0.25">
      <c r="A136" s="29"/>
    </row>
    <row r="137" spans="1:1" x14ac:dyDescent="0.25">
      <c r="A137" s="29"/>
    </row>
    <row r="138" spans="1:1" x14ac:dyDescent="0.25">
      <c r="A138" s="29"/>
    </row>
    <row r="139" spans="1:1" x14ac:dyDescent="0.25">
      <c r="A139" s="29"/>
    </row>
    <row r="140" spans="1:1" x14ac:dyDescent="0.25">
      <c r="A140" s="29"/>
    </row>
    <row r="141" spans="1:1" x14ac:dyDescent="0.25">
      <c r="A141" s="29"/>
    </row>
    <row r="142" spans="1:1" x14ac:dyDescent="0.25">
      <c r="A142" s="29"/>
    </row>
    <row r="143" spans="1:1" x14ac:dyDescent="0.25">
      <c r="A143" s="29"/>
    </row>
    <row r="144" spans="1:1" x14ac:dyDescent="0.25">
      <c r="A144" s="29"/>
    </row>
    <row r="145" spans="1:1" x14ac:dyDescent="0.25">
      <c r="A145" s="29"/>
    </row>
    <row r="146" spans="1:1" x14ac:dyDescent="0.25">
      <c r="A146" s="29"/>
    </row>
    <row r="147" spans="1:1" x14ac:dyDescent="0.25">
      <c r="A147" s="29"/>
    </row>
    <row r="148" spans="1:1" x14ac:dyDescent="0.25">
      <c r="A148" s="29"/>
    </row>
    <row r="149" spans="1:1" x14ac:dyDescent="0.25">
      <c r="A149" s="29"/>
    </row>
    <row r="150" spans="1:1" x14ac:dyDescent="0.25">
      <c r="A150" s="29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CDAB1-E044-A84F-9878-F2DCDDB7E420}">
  <sheetPr codeName="Sheet18"/>
  <dimension ref="A1:AA150"/>
  <sheetViews>
    <sheetView zoomScale="79" zoomScaleNormal="79" workbookViewId="0">
      <selection activeCell="O6" sqref="O6"/>
    </sheetView>
  </sheetViews>
  <sheetFormatPr baseColWidth="10" defaultColWidth="11" defaultRowHeight="19" x14ac:dyDescent="0.25"/>
  <cols>
    <col min="1" max="1" width="9.33203125" style="19" bestFit="1" customWidth="1"/>
    <col min="2" max="2" width="8.33203125" style="19" bestFit="1" customWidth="1"/>
    <col min="3" max="3" width="11.1640625" style="19" bestFit="1" customWidth="1"/>
    <col min="4" max="4" width="10.5" style="19" bestFit="1" customWidth="1"/>
    <col min="5" max="6" width="7.6640625" style="19" bestFit="1" customWidth="1"/>
    <col min="7" max="7" width="6.1640625" style="19" customWidth="1"/>
    <col min="8" max="8" width="8.33203125" style="19" bestFit="1" customWidth="1"/>
    <col min="9" max="9" width="6.83203125" style="19" bestFit="1" customWidth="1"/>
    <col min="10" max="10" width="11.1640625" style="19" bestFit="1" customWidth="1"/>
    <col min="11" max="11" width="10.5" style="19" bestFit="1" customWidth="1"/>
    <col min="12" max="13" width="7.6640625" style="19" bestFit="1" customWidth="1"/>
    <col min="14" max="14" width="4.5" style="19" customWidth="1"/>
    <col min="15" max="15" width="8.33203125" style="19" bestFit="1" customWidth="1"/>
    <col min="16" max="16" width="6.83203125" style="19" bestFit="1" customWidth="1"/>
    <col min="17" max="17" width="11.1640625" style="19" bestFit="1" customWidth="1"/>
    <col min="18" max="18" width="10.5" style="19" bestFit="1" customWidth="1"/>
    <col min="19" max="20" width="7.6640625" style="19" bestFit="1" customWidth="1"/>
    <col min="21" max="21" width="5" style="19" customWidth="1"/>
    <col min="22" max="22" width="8.33203125" style="19" bestFit="1" customWidth="1"/>
    <col min="23" max="23" width="6.83203125" style="19" bestFit="1" customWidth="1"/>
    <col min="24" max="24" width="11.1640625" style="19" bestFit="1" customWidth="1"/>
    <col min="25" max="25" width="10.5" style="19" bestFit="1" customWidth="1"/>
    <col min="26" max="27" width="7.6640625" style="19" bestFit="1" customWidth="1"/>
    <col min="28" max="16384" width="11" style="19"/>
  </cols>
  <sheetData>
    <row r="1" spans="1:27" ht="22" x14ac:dyDescent="0.3">
      <c r="A1" s="18" t="s">
        <v>42</v>
      </c>
      <c r="B1" s="18" t="s">
        <v>43</v>
      </c>
      <c r="C1" s="18" t="s">
        <v>45</v>
      </c>
      <c r="D1" s="18" t="s">
        <v>37</v>
      </c>
      <c r="E1" s="18"/>
      <c r="G1" s="20" t="s">
        <v>41</v>
      </c>
      <c r="H1" s="20"/>
      <c r="K1" s="33" t="str" cm="1">
        <f t="array" aca="1" ref="K1" ca="1">_xlfn.TEXTAFTER(CELL("filename",A1),"]")</f>
        <v>PYPL</v>
      </c>
      <c r="O1" s="34" t="s">
        <v>42</v>
      </c>
      <c r="P1" s="34" t="s">
        <v>43</v>
      </c>
      <c r="Q1" s="34" t="s">
        <v>45</v>
      </c>
      <c r="R1" s="34" t="s">
        <v>37</v>
      </c>
      <c r="S1" s="34"/>
    </row>
    <row r="2" spans="1:27" x14ac:dyDescent="0.25">
      <c r="A2" s="18">
        <f ca="1">VLOOKUP($K$1,StockList!$B$1:$P$20,4,FALSE)</f>
        <v>81.3</v>
      </c>
      <c r="B2" s="18">
        <f ca="1">VLOOKUP($K$1,StockList!$B$1:$P$20,7,FALSE)</f>
        <v>81.069999999999993</v>
      </c>
      <c r="C2" s="18">
        <f ca="1">VLOOKUP($K$1,StockList!$B$1:$P$20,8,FALSE)</f>
        <v>81.5</v>
      </c>
      <c r="D2" s="18">
        <f ca="1">VLOOKUP($K$1,StockList!$B$1:$P$20,14,FALSE)</f>
        <v>0.15</v>
      </c>
      <c r="E2" s="18"/>
      <c r="G2" s="20"/>
      <c r="H2" s="20"/>
      <c r="O2" s="34">
        <f ca="1">VLOOKUP($K$1,StockList!$B$1:$P$20,9,FALSE)</f>
        <v>81.3</v>
      </c>
      <c r="P2" s="34">
        <f ca="1">VLOOKUP($K$1,StockList!$B$1:$P$20,12,FALSE)</f>
        <v>81.069999999999993</v>
      </c>
      <c r="Q2" s="34">
        <f ca="1">VLOOKUP($K$1,StockList!$B$1:$P$20,13,FALSE)</f>
        <v>81.5</v>
      </c>
      <c r="R2" s="34">
        <f ca="1">VLOOKUP($K$1,StockList!$B$1:$P$20,14,FALSE)</f>
        <v>0.15</v>
      </c>
      <c r="S2" s="34"/>
    </row>
    <row r="4" spans="1:27" x14ac:dyDescent="0.25">
      <c r="B4" s="23" t="s">
        <v>50</v>
      </c>
      <c r="C4" s="23" t="s">
        <v>22</v>
      </c>
      <c r="D4" s="23" t="s">
        <v>23</v>
      </c>
      <c r="E4" s="23" t="s">
        <v>51</v>
      </c>
      <c r="I4" s="20" t="s">
        <v>50</v>
      </c>
      <c r="J4" s="20" t="s">
        <v>22</v>
      </c>
      <c r="K4" s="20" t="s">
        <v>23</v>
      </c>
      <c r="L4" s="20" t="s">
        <v>51</v>
      </c>
      <c r="O4" s="35"/>
      <c r="P4" s="21" t="s">
        <v>50</v>
      </c>
      <c r="Q4" s="21" t="s">
        <v>22</v>
      </c>
      <c r="R4" s="21" t="s">
        <v>23</v>
      </c>
      <c r="S4" s="19" t="s">
        <v>51</v>
      </c>
      <c r="W4" s="22" t="s">
        <v>50</v>
      </c>
      <c r="X4" s="22" t="s">
        <v>22</v>
      </c>
      <c r="Y4" s="22" t="s">
        <v>23</v>
      </c>
      <c r="Z4" s="22" t="s">
        <v>51</v>
      </c>
    </row>
    <row r="5" spans="1:27" x14ac:dyDescent="0.25">
      <c r="A5" s="19" t="s">
        <v>57</v>
      </c>
      <c r="B5" s="23">
        <f ca="1">VLOOKUP($K$1,StockList!$B$1:$P$20,5,FALSE)</f>
        <v>80</v>
      </c>
      <c r="C5" s="23">
        <f>IF(G2=0,StockList!D2,PYPL!G2)</f>
        <v>0.75</v>
      </c>
      <c r="D5" s="23">
        <f ca="1">VLOOKUP($K$1,StockList!$B$1:$P$20,6,FALSE)</f>
        <v>43.41</v>
      </c>
      <c r="E5" s="23"/>
      <c r="H5" s="19" t="s">
        <v>57</v>
      </c>
      <c r="I5" s="20">
        <f ca="1">B5</f>
        <v>80</v>
      </c>
      <c r="J5" s="20">
        <f>C5+0.1</f>
        <v>0.85</v>
      </c>
      <c r="K5" s="20">
        <f ca="1">D5</f>
        <v>43.41</v>
      </c>
      <c r="L5" s="20"/>
      <c r="O5" s="35" t="s">
        <v>58</v>
      </c>
      <c r="P5" s="21">
        <f ca="1">VLOOKUP($K$1,StockList!$B$1:$P$20,10,FALSE)</f>
        <v>80</v>
      </c>
      <c r="Q5" s="21">
        <f>C5</f>
        <v>0.75</v>
      </c>
      <c r="R5" s="21">
        <f ca="1">VLOOKUP($K$1,StockList!$B$1:$P$20,11,FALSE)</f>
        <v>43.41</v>
      </c>
      <c r="V5" s="19" t="s">
        <v>58</v>
      </c>
      <c r="W5" s="22">
        <f ca="1">B5</f>
        <v>80</v>
      </c>
      <c r="X5" s="22">
        <f>C5+0.1</f>
        <v>0.85</v>
      </c>
      <c r="Y5" s="22">
        <f ca="1">D5</f>
        <v>43.41</v>
      </c>
      <c r="Z5" s="22"/>
    </row>
    <row r="8" spans="1:27" x14ac:dyDescent="0.25">
      <c r="A8" s="18" t="s">
        <v>47</v>
      </c>
      <c r="B8" s="18" t="s">
        <v>24</v>
      </c>
      <c r="C8" s="18" t="s">
        <v>25</v>
      </c>
      <c r="D8" s="18" t="s">
        <v>26</v>
      </c>
      <c r="E8" s="18" t="s">
        <v>48</v>
      </c>
      <c r="F8" s="18" t="s">
        <v>49</v>
      </c>
      <c r="H8" s="20" t="s">
        <v>47</v>
      </c>
      <c r="I8" s="20" t="s">
        <v>24</v>
      </c>
      <c r="J8" s="20" t="s">
        <v>25</v>
      </c>
      <c r="K8" s="20" t="s">
        <v>26</v>
      </c>
      <c r="L8" s="20" t="s">
        <v>48</v>
      </c>
      <c r="M8" s="20" t="s">
        <v>49</v>
      </c>
      <c r="O8" s="24" t="s">
        <v>47</v>
      </c>
      <c r="P8" s="24" t="s">
        <v>24</v>
      </c>
      <c r="Q8" s="24" t="s">
        <v>25</v>
      </c>
      <c r="R8" s="24" t="s">
        <v>26</v>
      </c>
      <c r="S8" s="24" t="s">
        <v>48</v>
      </c>
      <c r="T8" s="24" t="s">
        <v>49</v>
      </c>
      <c r="V8" s="22" t="s">
        <v>47</v>
      </c>
      <c r="W8" s="22" t="s">
        <v>24</v>
      </c>
      <c r="X8" s="22" t="s">
        <v>25</v>
      </c>
      <c r="Y8" s="22" t="s">
        <v>26</v>
      </c>
      <c r="Z8" s="22" t="s">
        <v>48</v>
      </c>
      <c r="AA8" s="22" t="s">
        <v>49</v>
      </c>
    </row>
    <row r="9" spans="1:27" x14ac:dyDescent="0.25">
      <c r="A9" s="27">
        <v>0</v>
      </c>
      <c r="B9" s="27">
        <v>305</v>
      </c>
      <c r="C9" s="27">
        <v>0.35</v>
      </c>
      <c r="D9" s="27">
        <v>4.3099999999999996</v>
      </c>
      <c r="E9" s="27">
        <v>0</v>
      </c>
      <c r="F9" s="27">
        <v>0</v>
      </c>
      <c r="H9" s="28">
        <v>0</v>
      </c>
      <c r="I9" s="28">
        <v>305</v>
      </c>
      <c r="J9" s="28">
        <v>0.41</v>
      </c>
      <c r="K9" s="28">
        <v>4.37</v>
      </c>
      <c r="L9" s="28">
        <v>0</v>
      </c>
      <c r="M9" s="28">
        <v>0</v>
      </c>
      <c r="O9" s="25">
        <v>0</v>
      </c>
      <c r="P9" s="25">
        <v>301</v>
      </c>
      <c r="Q9" s="25">
        <v>2.04</v>
      </c>
      <c r="R9" s="25">
        <v>1</v>
      </c>
      <c r="S9" s="25">
        <v>0</v>
      </c>
      <c r="T9" s="25">
        <v>0</v>
      </c>
      <c r="V9" s="26">
        <v>0</v>
      </c>
      <c r="W9" s="26">
        <v>301</v>
      </c>
      <c r="X9" s="26">
        <v>0.05</v>
      </c>
      <c r="Y9" s="26">
        <v>8.01</v>
      </c>
      <c r="Z9" s="26">
        <v>0</v>
      </c>
      <c r="AA9" s="26">
        <v>0</v>
      </c>
    </row>
    <row r="10" spans="1:27" x14ac:dyDescent="0.25">
      <c r="A10" s="27">
        <v>1.28</v>
      </c>
      <c r="B10" s="27">
        <v>308.89999999999998</v>
      </c>
      <c r="C10" s="27">
        <v>1.58</v>
      </c>
      <c r="D10" s="27">
        <v>1.65</v>
      </c>
      <c r="E10" s="27">
        <v>358.94</v>
      </c>
      <c r="F10" s="27">
        <v>-61.74</v>
      </c>
      <c r="H10" s="28">
        <v>1.28</v>
      </c>
      <c r="I10" s="28">
        <v>308.89999999999998</v>
      </c>
      <c r="J10" s="28">
        <v>1.69</v>
      </c>
      <c r="K10" s="28">
        <v>1.75</v>
      </c>
      <c r="L10" s="28">
        <v>310.62</v>
      </c>
      <c r="M10" s="28">
        <v>-59.95</v>
      </c>
      <c r="O10" s="25">
        <v>2.62</v>
      </c>
      <c r="P10" s="25">
        <v>308.89999999999998</v>
      </c>
      <c r="Q10" s="25">
        <v>8.94</v>
      </c>
      <c r="R10" s="25">
        <v>0.01</v>
      </c>
      <c r="S10" s="25">
        <v>338.85</v>
      </c>
      <c r="T10" s="25">
        <v>-99.01</v>
      </c>
      <c r="V10" s="26">
        <v>2.62</v>
      </c>
      <c r="W10" s="26">
        <v>308.89999999999998</v>
      </c>
      <c r="X10" s="26">
        <v>1.69</v>
      </c>
      <c r="Y10" s="26">
        <v>1.75</v>
      </c>
      <c r="Z10" s="26">
        <v>3221.72</v>
      </c>
      <c r="AA10" s="26">
        <v>-78.14</v>
      </c>
    </row>
    <row r="11" spans="1:27" x14ac:dyDescent="0.25">
      <c r="A11" s="27">
        <v>0.49</v>
      </c>
      <c r="B11" s="27">
        <v>306.5</v>
      </c>
      <c r="C11" s="27">
        <v>0.67</v>
      </c>
      <c r="D11" s="27">
        <v>3.13</v>
      </c>
      <c r="E11" s="27">
        <v>93.78</v>
      </c>
      <c r="F11" s="27">
        <v>-27.29</v>
      </c>
      <c r="H11" s="28">
        <v>0.49</v>
      </c>
      <c r="I11" s="28">
        <v>306.5</v>
      </c>
      <c r="J11" s="28">
        <v>0.76</v>
      </c>
      <c r="K11" s="28">
        <v>3.22</v>
      </c>
      <c r="L11" s="28">
        <v>83.95</v>
      </c>
      <c r="M11" s="28">
        <v>-26.4</v>
      </c>
      <c r="O11" s="25">
        <v>1.83</v>
      </c>
      <c r="P11" s="25">
        <v>306.5</v>
      </c>
      <c r="Q11" s="25">
        <v>6.59</v>
      </c>
      <c r="R11" s="25">
        <v>0.06</v>
      </c>
      <c r="S11" s="25">
        <v>223.42</v>
      </c>
      <c r="T11" s="25">
        <v>-94.26</v>
      </c>
      <c r="V11" s="26">
        <v>1.83</v>
      </c>
      <c r="W11" s="26">
        <v>306.5</v>
      </c>
      <c r="X11" s="26">
        <v>0.76</v>
      </c>
      <c r="Y11" s="26">
        <v>3.22</v>
      </c>
      <c r="Z11" s="26">
        <v>1388.05</v>
      </c>
      <c r="AA11" s="26">
        <v>-59.83</v>
      </c>
    </row>
    <row r="12" spans="1:27" x14ac:dyDescent="0.25">
      <c r="A12" s="18">
        <v>0.66</v>
      </c>
      <c r="B12" s="18">
        <v>307</v>
      </c>
      <c r="C12" s="18">
        <v>0.82</v>
      </c>
      <c r="D12" s="18">
        <v>2.78</v>
      </c>
      <c r="E12" s="18">
        <v>136.37</v>
      </c>
      <c r="F12" s="18">
        <v>-35.479999999999997</v>
      </c>
      <c r="H12" s="20">
        <v>0.66</v>
      </c>
      <c r="I12" s="20">
        <v>307</v>
      </c>
      <c r="J12" s="20">
        <v>0.91</v>
      </c>
      <c r="K12" s="20">
        <v>2.87</v>
      </c>
      <c r="L12" s="20">
        <v>121.12</v>
      </c>
      <c r="M12" s="20">
        <v>-34.340000000000003</v>
      </c>
      <c r="O12" s="24">
        <v>0.66</v>
      </c>
      <c r="P12" s="24">
        <v>303</v>
      </c>
      <c r="Q12" s="24">
        <v>3.46</v>
      </c>
      <c r="R12" s="24">
        <v>0.42</v>
      </c>
      <c r="S12" s="24">
        <v>69.650000000000006</v>
      </c>
      <c r="T12" s="24">
        <v>-57.8</v>
      </c>
      <c r="V12" s="22">
        <v>0.66</v>
      </c>
      <c r="W12" s="22">
        <v>303</v>
      </c>
      <c r="X12" s="22">
        <v>0.16</v>
      </c>
      <c r="Y12" s="22">
        <v>6.12</v>
      </c>
      <c r="Z12" s="22">
        <v>210.91</v>
      </c>
      <c r="AA12" s="22">
        <v>-23.62</v>
      </c>
    </row>
    <row r="13" spans="1:27" x14ac:dyDescent="0.25">
      <c r="A13" s="18">
        <v>0.59</v>
      </c>
      <c r="B13" s="18">
        <v>306.8</v>
      </c>
      <c r="C13" s="18">
        <v>0.75</v>
      </c>
      <c r="D13" s="18">
        <v>2.92</v>
      </c>
      <c r="E13" s="18">
        <v>118.58</v>
      </c>
      <c r="F13" s="18">
        <v>-32.270000000000003</v>
      </c>
      <c r="H13" s="20">
        <v>0.59</v>
      </c>
      <c r="I13" s="20">
        <v>306.8</v>
      </c>
      <c r="J13" s="20">
        <v>0.85</v>
      </c>
      <c r="K13" s="20">
        <v>3.01</v>
      </c>
      <c r="L13" s="20">
        <v>105.65</v>
      </c>
      <c r="M13" s="20">
        <v>-31.22</v>
      </c>
      <c r="O13" s="24">
        <v>0.6</v>
      </c>
      <c r="P13" s="24">
        <v>302.8</v>
      </c>
      <c r="Q13" s="24">
        <v>3.3</v>
      </c>
      <c r="R13" s="24">
        <v>0.47</v>
      </c>
      <c r="S13" s="24">
        <v>61.91</v>
      </c>
      <c r="T13" s="24">
        <v>-53.6</v>
      </c>
      <c r="V13" s="22">
        <v>0.6</v>
      </c>
      <c r="W13" s="22">
        <v>302.8</v>
      </c>
      <c r="X13" s="22">
        <v>0.14000000000000001</v>
      </c>
      <c r="Y13" s="22">
        <v>6.3</v>
      </c>
      <c r="Z13" s="22">
        <v>179.87</v>
      </c>
      <c r="AA13" s="22">
        <v>-21.33</v>
      </c>
    </row>
    <row r="14" spans="1:27" x14ac:dyDescent="0.25">
      <c r="A14" s="18">
        <v>0.52</v>
      </c>
      <c r="B14" s="18">
        <v>306.60000000000002</v>
      </c>
      <c r="C14" s="18">
        <v>0.7</v>
      </c>
      <c r="D14" s="18">
        <v>3.06</v>
      </c>
      <c r="E14" s="18">
        <v>101.8</v>
      </c>
      <c r="F14" s="18">
        <v>-28.97</v>
      </c>
      <c r="H14" s="20">
        <v>0.52</v>
      </c>
      <c r="I14" s="20">
        <v>306.60000000000002</v>
      </c>
      <c r="J14" s="20">
        <v>0.79</v>
      </c>
      <c r="K14" s="20">
        <v>3.15</v>
      </c>
      <c r="L14" s="20">
        <v>90.99</v>
      </c>
      <c r="M14" s="20">
        <v>-28.03</v>
      </c>
      <c r="O14" s="24">
        <v>0.53</v>
      </c>
      <c r="P14" s="24">
        <v>302.60000000000002</v>
      </c>
      <c r="Q14" s="24">
        <v>3.15</v>
      </c>
      <c r="R14" s="24">
        <v>0.51</v>
      </c>
      <c r="S14" s="24">
        <v>54.32</v>
      </c>
      <c r="T14" s="24">
        <v>-49.09</v>
      </c>
      <c r="V14" s="22">
        <v>0.53</v>
      </c>
      <c r="W14" s="22">
        <v>302.60000000000002</v>
      </c>
      <c r="X14" s="22">
        <v>0.13</v>
      </c>
      <c r="Y14" s="22">
        <v>6.49</v>
      </c>
      <c r="Z14" s="22">
        <v>151.47</v>
      </c>
      <c r="AA14" s="22">
        <v>-19.010000000000002</v>
      </c>
    </row>
    <row r="15" spans="1:27" x14ac:dyDescent="0.25">
      <c r="A15" s="18">
        <v>0.46</v>
      </c>
      <c r="B15" s="18">
        <v>306.39999999999998</v>
      </c>
      <c r="C15" s="18">
        <v>0.64</v>
      </c>
      <c r="D15" s="18">
        <v>3.21</v>
      </c>
      <c r="E15" s="18">
        <v>85.99</v>
      </c>
      <c r="F15" s="18">
        <v>-25.6</v>
      </c>
      <c r="H15" s="20">
        <v>0.46</v>
      </c>
      <c r="I15" s="20">
        <v>306.39999999999998</v>
      </c>
      <c r="J15" s="20">
        <v>0.73</v>
      </c>
      <c r="K15" s="20">
        <v>3.29</v>
      </c>
      <c r="L15" s="20">
        <v>77.099999999999994</v>
      </c>
      <c r="M15" s="20">
        <v>-24.76</v>
      </c>
      <c r="O15" s="24">
        <v>0.47</v>
      </c>
      <c r="P15" s="24">
        <v>302.39999999999998</v>
      </c>
      <c r="Q15" s="24">
        <v>2.99</v>
      </c>
      <c r="R15" s="24">
        <v>0.56000000000000005</v>
      </c>
      <c r="S15" s="24">
        <v>46.9</v>
      </c>
      <c r="T15" s="24">
        <v>-44.24</v>
      </c>
      <c r="V15" s="22">
        <v>0.47</v>
      </c>
      <c r="W15" s="22">
        <v>302.39999999999998</v>
      </c>
      <c r="X15" s="22">
        <v>0.11</v>
      </c>
      <c r="Y15" s="22">
        <v>6.68</v>
      </c>
      <c r="Z15" s="22">
        <v>125.55</v>
      </c>
      <c r="AA15" s="22">
        <v>-16.68</v>
      </c>
    </row>
    <row r="16" spans="1:27" x14ac:dyDescent="0.25">
      <c r="A16" s="18">
        <v>0.39</v>
      </c>
      <c r="B16" s="18">
        <v>306.2</v>
      </c>
      <c r="C16" s="18">
        <v>0.59</v>
      </c>
      <c r="D16" s="18">
        <v>3.36</v>
      </c>
      <c r="E16" s="18">
        <v>71.12</v>
      </c>
      <c r="F16" s="18">
        <v>-22.15</v>
      </c>
      <c r="H16" s="20">
        <v>0.39</v>
      </c>
      <c r="I16" s="20">
        <v>306.2</v>
      </c>
      <c r="J16" s="20">
        <v>0.68</v>
      </c>
      <c r="K16" s="20">
        <v>3.44</v>
      </c>
      <c r="L16" s="20">
        <v>63.98</v>
      </c>
      <c r="M16" s="20">
        <v>-21.42</v>
      </c>
      <c r="O16" s="24">
        <v>0.4</v>
      </c>
      <c r="P16" s="24">
        <v>302.2</v>
      </c>
      <c r="Q16" s="24">
        <v>2.85</v>
      </c>
      <c r="R16" s="24">
        <v>0.61</v>
      </c>
      <c r="S16" s="24">
        <v>39.64</v>
      </c>
      <c r="T16" s="24">
        <v>-39.04</v>
      </c>
      <c r="V16" s="22">
        <v>0.4</v>
      </c>
      <c r="W16" s="22">
        <v>302.2</v>
      </c>
      <c r="X16" s="22">
        <v>0.1</v>
      </c>
      <c r="Y16" s="22">
        <v>6.86</v>
      </c>
      <c r="Z16" s="22">
        <v>101.93</v>
      </c>
      <c r="AA16" s="22">
        <v>-14.33</v>
      </c>
    </row>
    <row r="17" spans="1:27" x14ac:dyDescent="0.25">
      <c r="A17" s="18">
        <v>0.33</v>
      </c>
      <c r="B17" s="18">
        <v>306</v>
      </c>
      <c r="C17" s="18">
        <v>0.54</v>
      </c>
      <c r="D17" s="18">
        <v>3.51</v>
      </c>
      <c r="E17" s="18">
        <v>57.17</v>
      </c>
      <c r="F17" s="18">
        <v>-18.62</v>
      </c>
      <c r="H17" s="20">
        <v>0.33</v>
      </c>
      <c r="I17" s="20">
        <v>306</v>
      </c>
      <c r="J17" s="20">
        <v>0.62</v>
      </c>
      <c r="K17" s="20">
        <v>3.58</v>
      </c>
      <c r="L17" s="20">
        <v>51.6</v>
      </c>
      <c r="M17" s="20">
        <v>-18.010000000000002</v>
      </c>
      <c r="O17" s="24">
        <v>0.33</v>
      </c>
      <c r="P17" s="24">
        <v>302</v>
      </c>
      <c r="Q17" s="24">
        <v>2.7</v>
      </c>
      <c r="R17" s="24">
        <v>0.67</v>
      </c>
      <c r="S17" s="24">
        <v>32.57</v>
      </c>
      <c r="T17" s="24">
        <v>-33.49</v>
      </c>
      <c r="V17" s="22">
        <v>0.33</v>
      </c>
      <c r="W17" s="22">
        <v>302</v>
      </c>
      <c r="X17" s="22">
        <v>0.09</v>
      </c>
      <c r="Y17" s="22">
        <v>7.05</v>
      </c>
      <c r="Z17" s="22">
        <v>80.45</v>
      </c>
      <c r="AA17" s="22">
        <v>-11.97</v>
      </c>
    </row>
    <row r="18" spans="1:27" x14ac:dyDescent="0.25">
      <c r="A18" s="18">
        <v>0.26</v>
      </c>
      <c r="B18" s="18">
        <v>305.8</v>
      </c>
      <c r="C18" s="18">
        <v>0.5</v>
      </c>
      <c r="D18" s="18">
        <v>3.66</v>
      </c>
      <c r="E18" s="18">
        <v>44.1</v>
      </c>
      <c r="F18" s="18">
        <v>-15.03</v>
      </c>
      <c r="H18" s="20">
        <v>0.26</v>
      </c>
      <c r="I18" s="20">
        <v>305.8</v>
      </c>
      <c r="J18" s="20">
        <v>0.57999999999999996</v>
      </c>
      <c r="K18" s="20">
        <v>3.74</v>
      </c>
      <c r="L18" s="20">
        <v>39.93</v>
      </c>
      <c r="M18" s="20">
        <v>-14.54</v>
      </c>
      <c r="O18" s="24">
        <v>0.27</v>
      </c>
      <c r="P18" s="24">
        <v>301.8</v>
      </c>
      <c r="Q18" s="24">
        <v>2.56</v>
      </c>
      <c r="R18" s="24">
        <v>0.73</v>
      </c>
      <c r="S18" s="24">
        <v>25.67</v>
      </c>
      <c r="T18" s="24">
        <v>-27.57</v>
      </c>
      <c r="V18" s="22">
        <v>0.27</v>
      </c>
      <c r="W18" s="22">
        <v>301.8</v>
      </c>
      <c r="X18" s="22">
        <v>0.08</v>
      </c>
      <c r="Y18" s="22">
        <v>7.24</v>
      </c>
      <c r="Z18" s="22">
        <v>60.96</v>
      </c>
      <c r="AA18" s="22">
        <v>-9.6</v>
      </c>
    </row>
    <row r="19" spans="1:27" x14ac:dyDescent="0.25">
      <c r="A19" s="18">
        <v>0.2</v>
      </c>
      <c r="B19" s="18">
        <v>305.60000000000002</v>
      </c>
      <c r="C19" s="18">
        <v>0.46</v>
      </c>
      <c r="D19" s="18">
        <v>3.82</v>
      </c>
      <c r="E19" s="18">
        <v>31.88</v>
      </c>
      <c r="F19" s="18">
        <v>-11.37</v>
      </c>
      <c r="H19" s="20">
        <v>0.2</v>
      </c>
      <c r="I19" s="20">
        <v>305.60000000000002</v>
      </c>
      <c r="J19" s="20">
        <v>0.53</v>
      </c>
      <c r="K19" s="20">
        <v>3.89</v>
      </c>
      <c r="L19" s="20">
        <v>28.97</v>
      </c>
      <c r="M19" s="20">
        <v>-11</v>
      </c>
      <c r="O19" s="24">
        <v>0.2</v>
      </c>
      <c r="P19" s="24">
        <v>301.60000000000002</v>
      </c>
      <c r="Q19" s="24">
        <v>2.42</v>
      </c>
      <c r="R19" s="24">
        <v>0.79</v>
      </c>
      <c r="S19" s="24">
        <v>18.96</v>
      </c>
      <c r="T19" s="24">
        <v>-21.27</v>
      </c>
      <c r="V19" s="22">
        <v>0.2</v>
      </c>
      <c r="W19" s="22">
        <v>301.60000000000002</v>
      </c>
      <c r="X19" s="22">
        <v>7.0000000000000007E-2</v>
      </c>
      <c r="Y19" s="22">
        <v>7.43</v>
      </c>
      <c r="Z19" s="22">
        <v>43.31</v>
      </c>
      <c r="AA19" s="22">
        <v>-7.21</v>
      </c>
    </row>
    <row r="20" spans="1:27" x14ac:dyDescent="0.25">
      <c r="A20" s="18">
        <v>0.13</v>
      </c>
      <c r="B20" s="18">
        <v>305.39999999999998</v>
      </c>
      <c r="C20" s="18">
        <v>0.42</v>
      </c>
      <c r="D20" s="18">
        <v>3.98</v>
      </c>
      <c r="E20" s="18">
        <v>20.48</v>
      </c>
      <c r="F20" s="18">
        <v>-7.64</v>
      </c>
      <c r="H20" s="20">
        <v>0.13</v>
      </c>
      <c r="I20" s="20">
        <v>305.39999999999998</v>
      </c>
      <c r="J20" s="20">
        <v>0.49</v>
      </c>
      <c r="K20" s="20">
        <v>4.05</v>
      </c>
      <c r="L20" s="20">
        <v>18.670000000000002</v>
      </c>
      <c r="M20" s="20">
        <v>-7.39</v>
      </c>
      <c r="O20" s="24">
        <v>0.13</v>
      </c>
      <c r="P20" s="24">
        <v>301.39999999999998</v>
      </c>
      <c r="Q20" s="24">
        <v>2.29</v>
      </c>
      <c r="R20" s="24">
        <v>0.86</v>
      </c>
      <c r="S20" s="24">
        <v>12.44</v>
      </c>
      <c r="T20" s="24">
        <v>-14.58</v>
      </c>
      <c r="V20" s="22">
        <v>0.13</v>
      </c>
      <c r="W20" s="22">
        <v>301.39999999999998</v>
      </c>
      <c r="X20" s="22">
        <v>0.06</v>
      </c>
      <c r="Y20" s="22">
        <v>7.63</v>
      </c>
      <c r="Z20" s="22">
        <v>27.35</v>
      </c>
      <c r="AA20" s="22">
        <v>-4.82</v>
      </c>
    </row>
    <row r="21" spans="1:27" x14ac:dyDescent="0.25">
      <c r="A21" s="18">
        <v>7.0000000000000007E-2</v>
      </c>
      <c r="B21" s="18">
        <v>305.2</v>
      </c>
      <c r="C21" s="18">
        <v>0.38</v>
      </c>
      <c r="D21" s="18">
        <v>4.1399999999999997</v>
      </c>
      <c r="E21" s="18">
        <v>9.86</v>
      </c>
      <c r="F21" s="18">
        <v>-3.85</v>
      </c>
      <c r="H21" s="20">
        <v>7.0000000000000007E-2</v>
      </c>
      <c r="I21" s="20">
        <v>305.2</v>
      </c>
      <c r="J21" s="20">
        <v>0.45</v>
      </c>
      <c r="K21" s="20">
        <v>4.21</v>
      </c>
      <c r="L21" s="20">
        <v>9.02</v>
      </c>
      <c r="M21" s="20">
        <v>-3.72</v>
      </c>
      <c r="O21" s="24">
        <v>7.0000000000000007E-2</v>
      </c>
      <c r="P21" s="24">
        <v>301.2</v>
      </c>
      <c r="Q21" s="24">
        <v>2.16</v>
      </c>
      <c r="R21" s="24">
        <v>0.93</v>
      </c>
      <c r="S21" s="24">
        <v>6.12</v>
      </c>
      <c r="T21" s="24">
        <v>-7.5</v>
      </c>
      <c r="V21" s="22">
        <v>7.0000000000000007E-2</v>
      </c>
      <c r="W21" s="22">
        <v>301.2</v>
      </c>
      <c r="X21" s="22">
        <v>0.06</v>
      </c>
      <c r="Y21" s="22">
        <v>7.82</v>
      </c>
      <c r="Z21" s="22">
        <v>12.96</v>
      </c>
      <c r="AA21" s="22">
        <v>-2.41</v>
      </c>
    </row>
    <row r="22" spans="1:27" x14ac:dyDescent="0.25">
      <c r="A22" s="18">
        <v>0</v>
      </c>
      <c r="B22" s="18">
        <v>305</v>
      </c>
      <c r="C22" s="18">
        <v>0.35</v>
      </c>
      <c r="D22" s="18">
        <v>4.3099999999999996</v>
      </c>
      <c r="E22" s="18">
        <v>0</v>
      </c>
      <c r="F22" s="18">
        <v>0</v>
      </c>
      <c r="H22" s="20">
        <v>0</v>
      </c>
      <c r="I22" s="20">
        <v>305</v>
      </c>
      <c r="J22" s="20">
        <v>0.41</v>
      </c>
      <c r="K22" s="20">
        <v>4.37</v>
      </c>
      <c r="L22" s="20">
        <v>0</v>
      </c>
      <c r="M22" s="20">
        <v>0</v>
      </c>
      <c r="O22" s="24">
        <v>0</v>
      </c>
      <c r="P22" s="24">
        <v>301</v>
      </c>
      <c r="Q22" s="24">
        <v>2.04</v>
      </c>
      <c r="R22" s="24">
        <v>1</v>
      </c>
      <c r="S22" s="24">
        <v>0</v>
      </c>
      <c r="T22" s="24">
        <v>0</v>
      </c>
      <c r="V22" s="22">
        <v>0</v>
      </c>
      <c r="W22" s="22">
        <v>301</v>
      </c>
      <c r="X22" s="22">
        <v>0.05</v>
      </c>
      <c r="Y22" s="22">
        <v>8.01</v>
      </c>
      <c r="Z22" s="22">
        <v>0</v>
      </c>
      <c r="AA22" s="22">
        <v>0</v>
      </c>
    </row>
    <row r="23" spans="1:27" x14ac:dyDescent="0.25">
      <c r="A23" s="18">
        <v>-7.0000000000000007E-2</v>
      </c>
      <c r="B23" s="18">
        <v>304.8</v>
      </c>
      <c r="C23" s="18">
        <v>0.31</v>
      </c>
      <c r="D23" s="18">
        <v>4.4800000000000004</v>
      </c>
      <c r="E23" s="18">
        <v>-9.15</v>
      </c>
      <c r="F23" s="18">
        <v>3.91</v>
      </c>
      <c r="H23" s="20">
        <v>-7.0000000000000007E-2</v>
      </c>
      <c r="I23" s="20">
        <v>304.8</v>
      </c>
      <c r="J23" s="20">
        <v>0.38</v>
      </c>
      <c r="K23" s="20">
        <v>4.54</v>
      </c>
      <c r="L23" s="20">
        <v>-8.43</v>
      </c>
      <c r="M23" s="20">
        <v>3.78</v>
      </c>
      <c r="O23" s="24">
        <v>-7.0000000000000007E-2</v>
      </c>
      <c r="P23" s="24">
        <v>300.8</v>
      </c>
      <c r="Q23" s="24">
        <v>1.92</v>
      </c>
      <c r="R23" s="24">
        <v>1.08</v>
      </c>
      <c r="S23" s="24">
        <v>-5.92</v>
      </c>
      <c r="T23" s="24">
        <v>7.91</v>
      </c>
      <c r="V23" s="22">
        <v>-7.0000000000000007E-2</v>
      </c>
      <c r="W23" s="22">
        <v>300.8</v>
      </c>
      <c r="X23" s="22">
        <v>0.04</v>
      </c>
      <c r="Y23" s="22">
        <v>8.2100000000000009</v>
      </c>
      <c r="Z23" s="22">
        <v>-11.64</v>
      </c>
      <c r="AA23" s="22">
        <v>2.42</v>
      </c>
    </row>
    <row r="24" spans="1:27" x14ac:dyDescent="0.25">
      <c r="A24" s="18">
        <v>-0.13</v>
      </c>
      <c r="B24" s="18">
        <v>304.60000000000002</v>
      </c>
      <c r="C24" s="18">
        <v>0.28000000000000003</v>
      </c>
      <c r="D24" s="18">
        <v>4.6500000000000004</v>
      </c>
      <c r="E24" s="18">
        <v>-17.61</v>
      </c>
      <c r="F24" s="18">
        <v>7.87</v>
      </c>
      <c r="H24" s="20">
        <v>-0.13</v>
      </c>
      <c r="I24" s="20">
        <v>304.60000000000002</v>
      </c>
      <c r="J24" s="20">
        <v>0.34</v>
      </c>
      <c r="K24" s="20">
        <v>4.71</v>
      </c>
      <c r="L24" s="20">
        <v>-16.28</v>
      </c>
      <c r="M24" s="20">
        <v>7.62</v>
      </c>
      <c r="O24" s="24">
        <v>-0.13</v>
      </c>
      <c r="P24" s="24">
        <v>300.60000000000002</v>
      </c>
      <c r="Q24" s="24">
        <v>1.8</v>
      </c>
      <c r="R24" s="24">
        <v>1.17</v>
      </c>
      <c r="S24" s="24">
        <v>-11.62</v>
      </c>
      <c r="T24" s="24">
        <v>16.239999999999998</v>
      </c>
      <c r="V24" s="22">
        <v>-0.13</v>
      </c>
      <c r="W24" s="22">
        <v>300.60000000000002</v>
      </c>
      <c r="X24" s="22">
        <v>0.04</v>
      </c>
      <c r="Y24" s="22">
        <v>8.4</v>
      </c>
      <c r="Z24" s="22">
        <v>-22.08</v>
      </c>
      <c r="AA24" s="22">
        <v>4.8499999999999996</v>
      </c>
    </row>
    <row r="25" spans="1:27" x14ac:dyDescent="0.25">
      <c r="A25" s="18">
        <v>-0.2</v>
      </c>
      <c r="B25" s="18">
        <v>304.39999999999998</v>
      </c>
      <c r="C25" s="18">
        <v>0.26</v>
      </c>
      <c r="D25" s="18">
        <v>4.82</v>
      </c>
      <c r="E25" s="18">
        <v>-25.43</v>
      </c>
      <c r="F25" s="18">
        <v>11.88</v>
      </c>
      <c r="H25" s="20">
        <v>-0.2</v>
      </c>
      <c r="I25" s="20">
        <v>304.39999999999998</v>
      </c>
      <c r="J25" s="20">
        <v>0.31</v>
      </c>
      <c r="K25" s="20">
        <v>4.88</v>
      </c>
      <c r="L25" s="20">
        <v>-23.59</v>
      </c>
      <c r="M25" s="20">
        <v>11.5</v>
      </c>
      <c r="O25" s="24">
        <v>-0.2</v>
      </c>
      <c r="P25" s="24">
        <v>300.39999999999998</v>
      </c>
      <c r="Q25" s="24">
        <v>1.69</v>
      </c>
      <c r="R25" s="24">
        <v>1.26</v>
      </c>
      <c r="S25" s="24">
        <v>-17.12</v>
      </c>
      <c r="T25" s="24">
        <v>25</v>
      </c>
      <c r="V25" s="22">
        <v>-0.2</v>
      </c>
      <c r="W25" s="22">
        <v>300.39999999999998</v>
      </c>
      <c r="X25" s="22">
        <v>0.03</v>
      </c>
      <c r="Y25" s="22">
        <v>8.6</v>
      </c>
      <c r="Z25" s="22">
        <v>-31.41</v>
      </c>
      <c r="AA25" s="22">
        <v>7.29</v>
      </c>
    </row>
    <row r="26" spans="1:27" x14ac:dyDescent="0.25">
      <c r="A26" s="18">
        <v>-0.26</v>
      </c>
      <c r="B26" s="18">
        <v>304.2</v>
      </c>
      <c r="C26" s="18">
        <v>0.23</v>
      </c>
      <c r="D26" s="18">
        <v>5</v>
      </c>
      <c r="E26" s="18">
        <v>-32.64</v>
      </c>
      <c r="F26" s="18">
        <v>15.95</v>
      </c>
      <c r="H26" s="20">
        <v>-0.26</v>
      </c>
      <c r="I26" s="20">
        <v>304.2</v>
      </c>
      <c r="J26" s="20">
        <v>0.28999999999999998</v>
      </c>
      <c r="K26" s="20">
        <v>5.05</v>
      </c>
      <c r="L26" s="20">
        <v>-30.38</v>
      </c>
      <c r="M26" s="20">
        <v>15.44</v>
      </c>
      <c r="O26" s="24">
        <v>-0.27</v>
      </c>
      <c r="P26" s="24">
        <v>300.2</v>
      </c>
      <c r="Q26" s="24">
        <v>1.58</v>
      </c>
      <c r="R26" s="24">
        <v>1.35</v>
      </c>
      <c r="S26" s="24">
        <v>-22.41</v>
      </c>
      <c r="T26" s="24">
        <v>34.19</v>
      </c>
      <c r="V26" s="22">
        <v>-0.27</v>
      </c>
      <c r="W26" s="22">
        <v>300.2</v>
      </c>
      <c r="X26" s="22">
        <v>0.03</v>
      </c>
      <c r="Y26" s="22">
        <v>8.7899999999999991</v>
      </c>
      <c r="Z26" s="22">
        <v>-39.75</v>
      </c>
      <c r="AA26" s="22">
        <v>9.73</v>
      </c>
    </row>
    <row r="27" spans="1:27" x14ac:dyDescent="0.25">
      <c r="A27" s="18">
        <v>-0.33</v>
      </c>
      <c r="B27" s="18">
        <v>304</v>
      </c>
      <c r="C27" s="18">
        <v>0.21</v>
      </c>
      <c r="D27" s="18">
        <v>5.17</v>
      </c>
      <c r="E27" s="18">
        <v>-39.270000000000003</v>
      </c>
      <c r="F27" s="18">
        <v>20.059999999999999</v>
      </c>
      <c r="H27" s="20">
        <v>-0.33</v>
      </c>
      <c r="I27" s="20">
        <v>304</v>
      </c>
      <c r="J27" s="20">
        <v>0.26</v>
      </c>
      <c r="K27" s="20">
        <v>5.22</v>
      </c>
      <c r="L27" s="20">
        <v>-36.67</v>
      </c>
      <c r="M27" s="20">
        <v>19.420000000000002</v>
      </c>
      <c r="O27" s="24">
        <v>-0.33</v>
      </c>
      <c r="P27" s="24">
        <v>300</v>
      </c>
      <c r="Q27" s="24">
        <v>1.48</v>
      </c>
      <c r="R27" s="24">
        <v>1.44</v>
      </c>
      <c r="S27" s="24">
        <v>-27.48</v>
      </c>
      <c r="T27" s="24">
        <v>43.81</v>
      </c>
      <c r="V27" s="22">
        <v>-0.33</v>
      </c>
      <c r="W27" s="22">
        <v>300</v>
      </c>
      <c r="X27" s="22">
        <v>0.03</v>
      </c>
      <c r="Y27" s="22">
        <v>8.99</v>
      </c>
      <c r="Z27" s="22">
        <v>-47.18</v>
      </c>
      <c r="AA27" s="22">
        <v>12.18</v>
      </c>
    </row>
    <row r="28" spans="1:27" x14ac:dyDescent="0.25">
      <c r="A28" s="18">
        <v>-0.39</v>
      </c>
      <c r="B28" s="18">
        <v>303.8</v>
      </c>
      <c r="C28" s="18">
        <v>0.19</v>
      </c>
      <c r="D28" s="18">
        <v>5.35</v>
      </c>
      <c r="E28" s="18">
        <v>-45.35</v>
      </c>
      <c r="F28" s="18">
        <v>24.21</v>
      </c>
      <c r="H28" s="20">
        <v>-0.39</v>
      </c>
      <c r="I28" s="20">
        <v>303.8</v>
      </c>
      <c r="J28" s="20">
        <v>0.24</v>
      </c>
      <c r="K28" s="20">
        <v>5.4</v>
      </c>
      <c r="L28" s="20">
        <v>-42.49</v>
      </c>
      <c r="M28" s="20">
        <v>23.45</v>
      </c>
      <c r="O28" s="24">
        <v>-0.4</v>
      </c>
      <c r="P28" s="24">
        <v>299.8</v>
      </c>
      <c r="Q28" s="24">
        <v>1.38</v>
      </c>
      <c r="R28" s="24">
        <v>1.54</v>
      </c>
      <c r="S28" s="24">
        <v>-32.340000000000003</v>
      </c>
      <c r="T28" s="24">
        <v>53.86</v>
      </c>
      <c r="V28" s="22">
        <v>-0.4</v>
      </c>
      <c r="W28" s="22">
        <v>299.8</v>
      </c>
      <c r="X28" s="22">
        <v>0.02</v>
      </c>
      <c r="Y28" s="22">
        <v>9.18</v>
      </c>
      <c r="Z28" s="22">
        <v>-53.78</v>
      </c>
      <c r="AA28" s="22">
        <v>14.64</v>
      </c>
    </row>
    <row r="29" spans="1:27" x14ac:dyDescent="0.25">
      <c r="A29" s="18">
        <v>-0.46</v>
      </c>
      <c r="B29" s="18">
        <v>303.60000000000002</v>
      </c>
      <c r="C29" s="18">
        <v>0.17</v>
      </c>
      <c r="D29" s="18">
        <v>5.53</v>
      </c>
      <c r="E29" s="18">
        <v>-50.92</v>
      </c>
      <c r="F29" s="18">
        <v>28.4</v>
      </c>
      <c r="H29" s="20">
        <v>-0.46</v>
      </c>
      <c r="I29" s="20">
        <v>303.60000000000002</v>
      </c>
      <c r="J29" s="20">
        <v>0.21</v>
      </c>
      <c r="K29" s="20">
        <v>5.58</v>
      </c>
      <c r="L29" s="20">
        <v>-47.86</v>
      </c>
      <c r="M29" s="20">
        <v>27.51</v>
      </c>
      <c r="O29" s="24">
        <v>-0.47</v>
      </c>
      <c r="P29" s="24">
        <v>299.60000000000002</v>
      </c>
      <c r="Q29" s="24">
        <v>1.28</v>
      </c>
      <c r="R29" s="24">
        <v>1.65</v>
      </c>
      <c r="S29" s="24">
        <v>-36.99</v>
      </c>
      <c r="T29" s="24">
        <v>64.349999999999994</v>
      </c>
      <c r="V29" s="22">
        <v>-0.47</v>
      </c>
      <c r="W29" s="22">
        <v>299.60000000000002</v>
      </c>
      <c r="X29" s="22">
        <v>0.02</v>
      </c>
      <c r="Y29" s="22">
        <v>9.3800000000000008</v>
      </c>
      <c r="Z29" s="22">
        <v>-59.64</v>
      </c>
      <c r="AA29" s="22">
        <v>17.100000000000001</v>
      </c>
    </row>
    <row r="30" spans="1:27" x14ac:dyDescent="0.25">
      <c r="A30" s="18">
        <v>-0.52</v>
      </c>
      <c r="B30" s="18">
        <v>303.39999999999998</v>
      </c>
      <c r="C30" s="18">
        <v>0.15</v>
      </c>
      <c r="D30" s="18">
        <v>5.72</v>
      </c>
      <c r="E30" s="18">
        <v>-56.01</v>
      </c>
      <c r="F30" s="18">
        <v>32.64</v>
      </c>
      <c r="H30" s="20">
        <v>-0.52</v>
      </c>
      <c r="I30" s="20">
        <v>303.39999999999998</v>
      </c>
      <c r="J30" s="20">
        <v>0.19</v>
      </c>
      <c r="K30" s="20">
        <v>5.75</v>
      </c>
      <c r="L30" s="20">
        <v>-52.82</v>
      </c>
      <c r="M30" s="20">
        <v>31.62</v>
      </c>
      <c r="O30" s="24">
        <v>-0.53</v>
      </c>
      <c r="P30" s="24">
        <v>299.39999999999998</v>
      </c>
      <c r="Q30" s="24">
        <v>1.19</v>
      </c>
      <c r="R30" s="24">
        <v>1.76</v>
      </c>
      <c r="S30" s="24">
        <v>-41.42</v>
      </c>
      <c r="T30" s="24">
        <v>75.27</v>
      </c>
      <c r="V30" s="22">
        <v>-0.53</v>
      </c>
      <c r="W30" s="22">
        <v>299.39999999999998</v>
      </c>
      <c r="X30" s="22">
        <v>0.02</v>
      </c>
      <c r="Y30" s="22">
        <v>9.58</v>
      </c>
      <c r="Z30" s="22">
        <v>-64.819999999999993</v>
      </c>
      <c r="AA30" s="22">
        <v>19.559999999999999</v>
      </c>
    </row>
    <row r="31" spans="1:27" x14ac:dyDescent="0.25">
      <c r="A31" s="18">
        <v>-0.59</v>
      </c>
      <c r="B31" s="18">
        <v>303.2</v>
      </c>
      <c r="C31" s="18">
        <v>0.14000000000000001</v>
      </c>
      <c r="D31" s="18">
        <v>5.9</v>
      </c>
      <c r="E31" s="18">
        <v>-60.65</v>
      </c>
      <c r="F31" s="18">
        <v>36.9</v>
      </c>
      <c r="H31" s="20">
        <v>-0.59</v>
      </c>
      <c r="I31" s="20">
        <v>303.2</v>
      </c>
      <c r="J31" s="20">
        <v>0.18</v>
      </c>
      <c r="K31" s="20">
        <v>5.94</v>
      </c>
      <c r="L31" s="20">
        <v>-57.38</v>
      </c>
      <c r="M31" s="20">
        <v>35.770000000000003</v>
      </c>
      <c r="O31" s="24">
        <v>-0.6</v>
      </c>
      <c r="P31" s="24">
        <v>299.2</v>
      </c>
      <c r="Q31" s="24">
        <v>1.1100000000000001</v>
      </c>
      <c r="R31" s="24">
        <v>1.87</v>
      </c>
      <c r="S31" s="24">
        <v>-45.64</v>
      </c>
      <c r="T31" s="24">
        <v>86.62</v>
      </c>
      <c r="V31" s="22">
        <v>-0.6</v>
      </c>
      <c r="W31" s="22">
        <v>299.2</v>
      </c>
      <c r="X31" s="22">
        <v>0.02</v>
      </c>
      <c r="Y31" s="22">
        <v>9.7799999999999994</v>
      </c>
      <c r="Z31" s="22">
        <v>-69.400000000000006</v>
      </c>
      <c r="AA31" s="22">
        <v>22.03</v>
      </c>
    </row>
    <row r="32" spans="1:27" x14ac:dyDescent="0.25">
      <c r="A32" s="18">
        <v>-0.66</v>
      </c>
      <c r="B32" s="18">
        <v>303</v>
      </c>
      <c r="C32" s="18">
        <v>0.12</v>
      </c>
      <c r="D32" s="18">
        <v>6.09</v>
      </c>
      <c r="E32" s="18">
        <v>-64.88</v>
      </c>
      <c r="F32" s="18">
        <v>41.21</v>
      </c>
      <c r="H32" s="20">
        <v>-0.66</v>
      </c>
      <c r="I32" s="20">
        <v>303</v>
      </c>
      <c r="J32" s="20">
        <v>0.16</v>
      </c>
      <c r="K32" s="20">
        <v>6.12</v>
      </c>
      <c r="L32" s="20">
        <v>-61.57</v>
      </c>
      <c r="M32" s="20">
        <v>39.950000000000003</v>
      </c>
      <c r="O32" s="24">
        <v>-0.66</v>
      </c>
      <c r="P32" s="24">
        <v>299</v>
      </c>
      <c r="Q32" s="24">
        <v>1.03</v>
      </c>
      <c r="R32" s="24">
        <v>1.99</v>
      </c>
      <c r="S32" s="24">
        <v>-49.65</v>
      </c>
      <c r="T32" s="24">
        <v>98.39</v>
      </c>
      <c r="V32" s="22">
        <v>-0.66</v>
      </c>
      <c r="W32" s="22">
        <v>299</v>
      </c>
      <c r="X32" s="22">
        <v>0.01</v>
      </c>
      <c r="Y32" s="22">
        <v>9.9700000000000006</v>
      </c>
      <c r="Z32" s="22">
        <v>-73.44</v>
      </c>
      <c r="AA32" s="22">
        <v>24.5</v>
      </c>
    </row>
    <row r="33" spans="1:27" x14ac:dyDescent="0.25">
      <c r="A33" s="18">
        <v>-0.72</v>
      </c>
      <c r="B33" s="18">
        <v>302.8</v>
      </c>
      <c r="C33" s="18">
        <v>0.11</v>
      </c>
      <c r="D33" s="18">
        <v>6.27</v>
      </c>
      <c r="E33" s="18">
        <v>-68.709999999999994</v>
      </c>
      <c r="F33" s="18">
        <v>45.54</v>
      </c>
      <c r="H33" s="20">
        <v>-0.72</v>
      </c>
      <c r="I33" s="20">
        <v>302.8</v>
      </c>
      <c r="J33" s="20">
        <v>0.14000000000000001</v>
      </c>
      <c r="K33" s="20">
        <v>6.3</v>
      </c>
      <c r="L33" s="20">
        <v>-65.400000000000006</v>
      </c>
      <c r="M33" s="20">
        <v>44.16</v>
      </c>
      <c r="O33" s="24">
        <v>-0.73</v>
      </c>
      <c r="P33" s="24">
        <v>298.8</v>
      </c>
      <c r="Q33" s="24">
        <v>0.95</v>
      </c>
      <c r="R33" s="24">
        <v>2.11</v>
      </c>
      <c r="S33" s="24">
        <v>-53.46</v>
      </c>
      <c r="T33" s="24">
        <v>110.59</v>
      </c>
      <c r="V33" s="22">
        <v>-0.73</v>
      </c>
      <c r="W33" s="22">
        <v>298.8</v>
      </c>
      <c r="X33" s="22">
        <v>0.01</v>
      </c>
      <c r="Y33" s="22">
        <v>10.17</v>
      </c>
      <c r="Z33" s="22">
        <v>-77</v>
      </c>
      <c r="AA33" s="22">
        <v>26.97</v>
      </c>
    </row>
    <row r="34" spans="1:27" x14ac:dyDescent="0.25">
      <c r="A34" s="18">
        <v>-0.79</v>
      </c>
      <c r="B34" s="18">
        <v>302.60000000000002</v>
      </c>
      <c r="C34" s="18">
        <v>0.1</v>
      </c>
      <c r="D34" s="18">
        <v>6.46</v>
      </c>
      <c r="E34" s="18">
        <v>-72.180000000000007</v>
      </c>
      <c r="F34" s="18">
        <v>49.9</v>
      </c>
      <c r="H34" s="20">
        <v>-0.79</v>
      </c>
      <c r="I34" s="20">
        <v>302.60000000000002</v>
      </c>
      <c r="J34" s="20">
        <v>0.13</v>
      </c>
      <c r="K34" s="20">
        <v>6.49</v>
      </c>
      <c r="L34" s="20">
        <v>-68.91</v>
      </c>
      <c r="M34" s="20">
        <v>48.4</v>
      </c>
      <c r="O34" s="24">
        <v>-0.8</v>
      </c>
      <c r="P34" s="24">
        <v>298.60000000000002</v>
      </c>
      <c r="Q34" s="24">
        <v>0.88</v>
      </c>
      <c r="R34" s="24">
        <v>2.2400000000000002</v>
      </c>
      <c r="S34" s="24">
        <v>-57.06</v>
      </c>
      <c r="T34" s="24">
        <v>123.2</v>
      </c>
      <c r="V34" s="22">
        <v>-0.8</v>
      </c>
      <c r="W34" s="22">
        <v>298.60000000000002</v>
      </c>
      <c r="X34" s="22">
        <v>0.01</v>
      </c>
      <c r="Y34" s="22">
        <v>10.37</v>
      </c>
      <c r="Z34" s="22">
        <v>-80.11</v>
      </c>
      <c r="AA34" s="22">
        <v>29.45</v>
      </c>
    </row>
    <row r="51" spans="1:2" x14ac:dyDescent="0.25">
      <c r="A51" s="29"/>
    </row>
    <row r="52" spans="1:2" x14ac:dyDescent="0.25">
      <c r="A52" s="29"/>
    </row>
    <row r="53" spans="1:2" x14ac:dyDescent="0.25">
      <c r="A53" s="29"/>
    </row>
    <row r="54" spans="1:2" x14ac:dyDescent="0.25">
      <c r="A54" s="29"/>
    </row>
    <row r="55" spans="1:2" x14ac:dyDescent="0.25">
      <c r="A55" s="29"/>
      <c r="B55" s="30"/>
    </row>
    <row r="56" spans="1:2" x14ac:dyDescent="0.25">
      <c r="A56" s="29"/>
      <c r="B56" s="30"/>
    </row>
    <row r="57" spans="1:2" x14ac:dyDescent="0.25">
      <c r="A57" s="29"/>
    </row>
    <row r="58" spans="1:2" x14ac:dyDescent="0.25">
      <c r="A58" s="29"/>
      <c r="B58" s="30"/>
    </row>
    <row r="59" spans="1:2" x14ac:dyDescent="0.25">
      <c r="A59" s="29"/>
    </row>
    <row r="60" spans="1:2" x14ac:dyDescent="0.25">
      <c r="A60" s="29"/>
    </row>
    <row r="61" spans="1:2" x14ac:dyDescent="0.25">
      <c r="A61" s="29"/>
      <c r="B61" s="30"/>
    </row>
    <row r="62" spans="1:2" x14ac:dyDescent="0.25">
      <c r="A62" s="29"/>
    </row>
    <row r="63" spans="1:2" x14ac:dyDescent="0.25">
      <c r="A63" s="29"/>
    </row>
    <row r="64" spans="1:2" x14ac:dyDescent="0.25">
      <c r="A64" s="29"/>
      <c r="B64" s="30"/>
    </row>
    <row r="65" spans="1:2" x14ac:dyDescent="0.25">
      <c r="A65" s="29"/>
    </row>
    <row r="66" spans="1:2" x14ac:dyDescent="0.25">
      <c r="A66" s="29"/>
      <c r="B66" s="30"/>
    </row>
    <row r="67" spans="1:2" x14ac:dyDescent="0.25">
      <c r="A67" s="29"/>
    </row>
    <row r="68" spans="1:2" x14ac:dyDescent="0.25">
      <c r="A68" s="29"/>
      <c r="B68" s="30"/>
    </row>
    <row r="69" spans="1:2" x14ac:dyDescent="0.25">
      <c r="A69" s="29"/>
      <c r="B69" s="30"/>
    </row>
    <row r="70" spans="1:2" x14ac:dyDescent="0.25">
      <c r="A70" s="29"/>
      <c r="B70" s="30"/>
    </row>
    <row r="71" spans="1:2" x14ac:dyDescent="0.25">
      <c r="A71" s="29"/>
      <c r="B71" s="30"/>
    </row>
    <row r="72" spans="1:2" x14ac:dyDescent="0.25">
      <c r="A72" s="29"/>
    </row>
    <row r="73" spans="1:2" x14ac:dyDescent="0.25">
      <c r="A73" s="29"/>
    </row>
    <row r="74" spans="1:2" x14ac:dyDescent="0.25">
      <c r="A74" s="29"/>
      <c r="B74" s="30"/>
    </row>
    <row r="75" spans="1:2" x14ac:dyDescent="0.25">
      <c r="A75" s="29"/>
    </row>
    <row r="76" spans="1:2" x14ac:dyDescent="0.25">
      <c r="A76" s="29"/>
    </row>
    <row r="77" spans="1:2" x14ac:dyDescent="0.25">
      <c r="A77" s="29"/>
      <c r="B77" s="30"/>
    </row>
    <row r="78" spans="1:2" x14ac:dyDescent="0.25">
      <c r="A78" s="29"/>
    </row>
    <row r="79" spans="1:2" x14ac:dyDescent="0.25">
      <c r="A79" s="29"/>
    </row>
    <row r="80" spans="1:2" x14ac:dyDescent="0.25">
      <c r="A80" s="29"/>
    </row>
    <row r="81" spans="1:2" x14ac:dyDescent="0.25">
      <c r="A81" s="29"/>
    </row>
    <row r="82" spans="1:2" x14ac:dyDescent="0.25">
      <c r="A82" s="29"/>
    </row>
    <row r="83" spans="1:2" x14ac:dyDescent="0.25">
      <c r="A83" s="29"/>
      <c r="B83" s="30"/>
    </row>
    <row r="84" spans="1:2" x14ac:dyDescent="0.25">
      <c r="A84" s="29"/>
      <c r="B84" s="30"/>
    </row>
    <row r="85" spans="1:2" x14ac:dyDescent="0.25">
      <c r="A85" s="29"/>
    </row>
    <row r="86" spans="1:2" x14ac:dyDescent="0.25">
      <c r="A86" s="29"/>
      <c r="B86" s="30"/>
    </row>
    <row r="87" spans="1:2" x14ac:dyDescent="0.25">
      <c r="A87" s="29"/>
    </row>
    <row r="88" spans="1:2" x14ac:dyDescent="0.25">
      <c r="A88" s="29"/>
    </row>
    <row r="89" spans="1:2" x14ac:dyDescent="0.25">
      <c r="A89" s="29"/>
    </row>
    <row r="90" spans="1:2" x14ac:dyDescent="0.25">
      <c r="A90" s="29"/>
    </row>
    <row r="91" spans="1:2" x14ac:dyDescent="0.25">
      <c r="A91" s="29"/>
    </row>
    <row r="92" spans="1:2" x14ac:dyDescent="0.25">
      <c r="A92" s="29"/>
    </row>
    <row r="93" spans="1:2" x14ac:dyDescent="0.25">
      <c r="A93" s="29"/>
      <c r="B93" s="30"/>
    </row>
    <row r="94" spans="1:2" x14ac:dyDescent="0.25">
      <c r="A94" s="29"/>
      <c r="B94" s="30"/>
    </row>
    <row r="95" spans="1:2" x14ac:dyDescent="0.25">
      <c r="A95" s="29"/>
      <c r="B95" s="30"/>
    </row>
    <row r="96" spans="1:2" x14ac:dyDescent="0.25">
      <c r="A96" s="29"/>
    </row>
    <row r="97" spans="1:2" x14ac:dyDescent="0.25">
      <c r="A97" s="29"/>
    </row>
    <row r="98" spans="1:2" x14ac:dyDescent="0.25">
      <c r="A98" s="29"/>
    </row>
    <row r="99" spans="1:2" x14ac:dyDescent="0.25">
      <c r="A99" s="29"/>
      <c r="B99" s="30"/>
    </row>
    <row r="100" spans="1:2" x14ac:dyDescent="0.25">
      <c r="A100" s="29"/>
    </row>
    <row r="101" spans="1:2" x14ac:dyDescent="0.25">
      <c r="A101" s="29"/>
    </row>
    <row r="102" spans="1:2" x14ac:dyDescent="0.25">
      <c r="A102" s="29"/>
      <c r="B102" s="30"/>
    </row>
    <row r="103" spans="1:2" x14ac:dyDescent="0.25">
      <c r="A103" s="29"/>
      <c r="B103" s="30"/>
    </row>
    <row r="104" spans="1:2" x14ac:dyDescent="0.25">
      <c r="A104" s="29"/>
      <c r="B104" s="30"/>
    </row>
    <row r="105" spans="1:2" x14ac:dyDescent="0.25">
      <c r="A105" s="29"/>
    </row>
    <row r="106" spans="1:2" x14ac:dyDescent="0.25">
      <c r="A106" s="29"/>
    </row>
    <row r="107" spans="1:2" x14ac:dyDescent="0.25">
      <c r="A107" s="29"/>
      <c r="B107" s="30"/>
    </row>
    <row r="108" spans="1:2" x14ac:dyDescent="0.25">
      <c r="A108" s="29"/>
      <c r="B108" s="30"/>
    </row>
    <row r="109" spans="1:2" x14ac:dyDescent="0.25">
      <c r="A109" s="29"/>
      <c r="B109" s="30"/>
    </row>
    <row r="110" spans="1:2" x14ac:dyDescent="0.25">
      <c r="A110" s="29"/>
    </row>
    <row r="111" spans="1:2" x14ac:dyDescent="0.25">
      <c r="A111" s="29"/>
    </row>
    <row r="112" spans="1:2" x14ac:dyDescent="0.25">
      <c r="A112" s="29"/>
    </row>
    <row r="113" spans="1:2" x14ac:dyDescent="0.25">
      <c r="A113" s="29"/>
    </row>
    <row r="114" spans="1:2" x14ac:dyDescent="0.25">
      <c r="A114" s="29"/>
    </row>
    <row r="115" spans="1:2" x14ac:dyDescent="0.25">
      <c r="A115" s="29"/>
    </row>
    <row r="116" spans="1:2" x14ac:dyDescent="0.25">
      <c r="A116" s="29"/>
    </row>
    <row r="117" spans="1:2" x14ac:dyDescent="0.25">
      <c r="A117" s="29"/>
    </row>
    <row r="118" spans="1:2" x14ac:dyDescent="0.25">
      <c r="A118" s="29"/>
    </row>
    <row r="119" spans="1:2" x14ac:dyDescent="0.25">
      <c r="A119" s="29"/>
      <c r="B119" s="30"/>
    </row>
    <row r="120" spans="1:2" x14ac:dyDescent="0.25">
      <c r="A120" s="29"/>
      <c r="B120" s="30"/>
    </row>
    <row r="121" spans="1:2" x14ac:dyDescent="0.25">
      <c r="A121" s="29"/>
      <c r="B121" s="30"/>
    </row>
    <row r="122" spans="1:2" x14ac:dyDescent="0.25">
      <c r="A122" s="29"/>
    </row>
    <row r="123" spans="1:2" x14ac:dyDescent="0.25">
      <c r="A123" s="29"/>
    </row>
    <row r="124" spans="1:2" x14ac:dyDescent="0.25">
      <c r="A124" s="29"/>
    </row>
    <row r="125" spans="1:2" x14ac:dyDescent="0.25">
      <c r="A125" s="29"/>
    </row>
    <row r="126" spans="1:2" x14ac:dyDescent="0.25">
      <c r="A126" s="29"/>
    </row>
    <row r="127" spans="1:2" x14ac:dyDescent="0.25">
      <c r="A127" s="29"/>
    </row>
    <row r="128" spans="1:2" x14ac:dyDescent="0.25">
      <c r="A128" s="29"/>
    </row>
    <row r="129" spans="1:1" x14ac:dyDescent="0.25">
      <c r="A129" s="29"/>
    </row>
    <row r="130" spans="1:1" x14ac:dyDescent="0.25">
      <c r="A130" s="29"/>
    </row>
    <row r="131" spans="1:1" x14ac:dyDescent="0.25">
      <c r="A131" s="29"/>
    </row>
    <row r="132" spans="1:1" x14ac:dyDescent="0.25">
      <c r="A132" s="29"/>
    </row>
    <row r="133" spans="1:1" x14ac:dyDescent="0.25">
      <c r="A133" s="29"/>
    </row>
    <row r="134" spans="1:1" x14ac:dyDescent="0.25">
      <c r="A134" s="29"/>
    </row>
    <row r="135" spans="1:1" x14ac:dyDescent="0.25">
      <c r="A135" s="29"/>
    </row>
    <row r="136" spans="1:1" x14ac:dyDescent="0.25">
      <c r="A136" s="29"/>
    </row>
    <row r="137" spans="1:1" x14ac:dyDescent="0.25">
      <c r="A137" s="29"/>
    </row>
    <row r="138" spans="1:1" x14ac:dyDescent="0.25">
      <c r="A138" s="29"/>
    </row>
    <row r="139" spans="1:1" x14ac:dyDescent="0.25">
      <c r="A139" s="29"/>
    </row>
    <row r="140" spans="1:1" x14ac:dyDescent="0.25">
      <c r="A140" s="29"/>
    </row>
    <row r="141" spans="1:1" x14ac:dyDescent="0.25">
      <c r="A141" s="29"/>
    </row>
    <row r="142" spans="1:1" x14ac:dyDescent="0.25">
      <c r="A142" s="29"/>
    </row>
    <row r="143" spans="1:1" x14ac:dyDescent="0.25">
      <c r="A143" s="29"/>
    </row>
    <row r="144" spans="1:1" x14ac:dyDescent="0.25">
      <c r="A144" s="29"/>
    </row>
    <row r="145" spans="1:1" x14ac:dyDescent="0.25">
      <c r="A145" s="29"/>
    </row>
    <row r="146" spans="1:1" x14ac:dyDescent="0.25">
      <c r="A146" s="29"/>
    </row>
    <row r="147" spans="1:1" x14ac:dyDescent="0.25">
      <c r="A147" s="29"/>
    </row>
    <row r="148" spans="1:1" x14ac:dyDescent="0.25">
      <c r="A148" s="29"/>
    </row>
    <row r="149" spans="1:1" x14ac:dyDescent="0.25">
      <c r="A149" s="29"/>
    </row>
    <row r="150" spans="1:1" x14ac:dyDescent="0.25">
      <c r="A150" s="29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6ED4F-7A0D-1E4A-AC53-A81F98578600}">
  <dimension ref="A1:B7"/>
  <sheetViews>
    <sheetView tabSelected="1" workbookViewId="0">
      <selection activeCell="D13" sqref="D13"/>
    </sheetView>
  </sheetViews>
  <sheetFormatPr baseColWidth="10" defaultRowHeight="16" x14ac:dyDescent="0.2"/>
  <cols>
    <col min="1" max="1" width="17.83203125" customWidth="1"/>
    <col min="2" max="2" width="11.83203125" customWidth="1"/>
  </cols>
  <sheetData>
    <row r="1" spans="1:2" x14ac:dyDescent="0.2">
      <c r="A1" t="s">
        <v>66</v>
      </c>
      <c r="B1">
        <v>450</v>
      </c>
    </row>
    <row r="2" spans="1:2" x14ac:dyDescent="0.2">
      <c r="A2" t="s">
        <v>61</v>
      </c>
      <c r="B2">
        <v>3</v>
      </c>
    </row>
    <row r="3" spans="1:2" x14ac:dyDescent="0.2">
      <c r="A3" t="s">
        <v>62</v>
      </c>
      <c r="B3">
        <v>0.15</v>
      </c>
    </row>
    <row r="4" spans="1:2" x14ac:dyDescent="0.2">
      <c r="A4" t="s">
        <v>63</v>
      </c>
      <c r="B4">
        <v>0.4</v>
      </c>
    </row>
    <row r="6" spans="1:2" x14ac:dyDescent="0.2">
      <c r="A6" s="40" t="s">
        <v>64</v>
      </c>
      <c r="B6" s="40">
        <f>(B1-(B4*B2*100))/((B4-B3)*100)</f>
        <v>13.2</v>
      </c>
    </row>
    <row r="7" spans="1:2" x14ac:dyDescent="0.2">
      <c r="A7" s="40" t="s">
        <v>65</v>
      </c>
      <c r="B7" s="40">
        <f>B6*B3*100</f>
        <v>197.99999999999997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StockList</vt:lpstr>
      <vt:lpstr>QQQ</vt:lpstr>
      <vt:lpstr>TSLA</vt:lpstr>
      <vt:lpstr>NVDA</vt:lpstr>
      <vt:lpstr>AMZN</vt:lpstr>
      <vt:lpstr>PYPL</vt:lpstr>
      <vt:lpstr>Share Cal</vt:lpstr>
      <vt:lpstr>_xlwings.conf</vt:lpstr>
      <vt:lpstr>StockList!StockListRange</vt:lpstr>
      <vt:lpstr>StockListRange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flora qian</cp:lastModifiedBy>
  <dcterms:created xsi:type="dcterms:W3CDTF">2015-01-25T11:31:25Z</dcterms:created>
  <dcterms:modified xsi:type="dcterms:W3CDTF">2023-02-09T23:41:55Z</dcterms:modified>
</cp:coreProperties>
</file>