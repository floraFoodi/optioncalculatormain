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11" codeName="{A63ED3A1-9429-3D75-F2AA-CA7E51A8F3A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loraqian/MachineLearningData/excel/optioncalculatormain/"/>
    </mc:Choice>
  </mc:AlternateContent>
  <xr:revisionPtr revIDLastSave="0" documentId="13_ncr:1_{3F46D410-B793-0F4A-8674-EB8CE034F7BD}" xr6:coauthVersionLast="47" xr6:coauthVersionMax="47" xr10:uidLastSave="{00000000-0000-0000-0000-000000000000}"/>
  <bookViews>
    <workbookView xWindow="-27080" yWindow="3140" windowWidth="27200" windowHeight="14860" tabRatio="500" activeTab="1" xr2:uid="{00000000-000D-0000-FFFF-FFFF00000000}"/>
  </bookViews>
  <sheets>
    <sheet name="StockList" sheetId="4" r:id="rId1"/>
    <sheet name="PYPL" sheetId="21" r:id="rId2"/>
    <sheet name="QQQ" sheetId="22" r:id="rId3"/>
    <sheet name="_xlwings.conf" sheetId="2" state="hidden" r:id="rId4"/>
  </sheets>
  <definedNames>
    <definedName name="StockListRange" localSheetId="0">StockList!$A$1:$C$17</definedName>
    <definedName name="StockListRange">StockList!$A$1:$C$3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5" i="22" l="1"/>
  <c r="P5" i="22"/>
  <c r="W5" i="22" s="1"/>
  <c r="O5" i="22"/>
  <c r="N5" i="22"/>
  <c r="U5" i="22" s="1"/>
  <c r="V5" i="21"/>
  <c r="O5" i="21"/>
  <c r="P5" i="21"/>
  <c r="W5" i="21" s="1"/>
  <c r="U5" i="21"/>
  <c r="N5" i="21"/>
</calcChain>
</file>

<file path=xl/sharedStrings.xml><?xml version="1.0" encoding="utf-8"?>
<sst xmlns="http://schemas.openxmlformats.org/spreadsheetml/2006/main" count="120" uniqueCount="58">
  <si>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</si>
  <si>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</si>
  <si>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</si>
  <si>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</si>
  <si>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</si>
  <si>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</si>
  <si>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</si>
  <si>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</si>
  <si>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</si>
  <si>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</si>
  <si>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</si>
  <si>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</si>
  <si>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</si>
  <si>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</si>
  <si>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</si>
  <si>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PLUG</t>
  </si>
  <si>
    <t>Ticker</t>
  </si>
  <si>
    <t>F</t>
  </si>
  <si>
    <t>Update</t>
  </si>
  <si>
    <t>0</t>
  </si>
  <si>
    <t>1</t>
  </si>
  <si>
    <t>Comments:</t>
  </si>
  <si>
    <t>Update Flag:</t>
  </si>
  <si>
    <t>Column A Is the index column, make sure to enter sequency with text format (add a ' in front of the number, such as '1)</t>
  </si>
  <si>
    <t>SPOT PRICE</t>
  </si>
  <si>
    <t>STRIKE PRICE</t>
  </si>
  <si>
    <t>EXPIRATION</t>
  </si>
  <si>
    <t>VOLATILITY</t>
  </si>
  <si>
    <t>RISK FREE RATE</t>
  </si>
  <si>
    <t>Numer Of Options</t>
  </si>
  <si>
    <t>percentage</t>
  </si>
  <si>
    <t>price</t>
  </si>
  <si>
    <t>call</t>
  </si>
  <si>
    <t>put</t>
  </si>
  <si>
    <t>call pct change</t>
  </si>
  <si>
    <t>put pct change</t>
  </si>
  <si>
    <t>2</t>
  </si>
  <si>
    <t>RSI last price</t>
  </si>
  <si>
    <t>rsi3</t>
  </si>
  <si>
    <t>rsi14</t>
  </si>
  <si>
    <t>3</t>
  </si>
  <si>
    <t>4</t>
  </si>
  <si>
    <t>5</t>
  </si>
  <si>
    <t>DAL</t>
  </si>
  <si>
    <t>6</t>
  </si>
  <si>
    <t>CHPT</t>
  </si>
  <si>
    <t>7</t>
  </si>
  <si>
    <t>DKNG</t>
  </si>
  <si>
    <t>8</t>
  </si>
  <si>
    <t>PLTR</t>
  </si>
  <si>
    <t>9</t>
  </si>
  <si>
    <t>NVDA</t>
  </si>
  <si>
    <t>U</t>
  </si>
  <si>
    <t>BEKE</t>
  </si>
  <si>
    <t>PYPL</t>
  </si>
  <si>
    <t>Target Price</t>
  </si>
  <si>
    <t>Stop Price</t>
  </si>
  <si>
    <t>ATR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</si>
</sst>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7" borderId="10" xfId="0" applyFont="1" applyFill="1" applyBorder="1"/>
    <xf numFmtId="0" fontId="2" fillId="7" borderId="11" xfId="0" applyFont="1" applyFill="1" applyBorder="1"/>
    <xf numFmtId="0" fontId="2" fillId="7" borderId="12" xfId="0" applyFont="1" applyFill="1" applyBorder="1"/>
    <xf numFmtId="0" fontId="3" fillId="6" borderId="7" xfId="0" quotePrefix="1" applyFont="1" applyFill="1" applyBorder="1"/>
    <xf numFmtId="0" fontId="3" fillId="6" borderId="8" xfId="0" applyFont="1" applyFill="1" applyBorder="1"/>
    <xf numFmtId="0" fontId="3" fillId="6" borderId="9" xfId="0" applyFont="1" applyFill="1" applyBorder="1"/>
    <xf numFmtId="0" fontId="3" fillId="6" borderId="2" xfId="0" quotePrefix="1" applyFont="1" applyFill="1" applyBorder="1"/>
    <xf numFmtId="0" fontId="3" fillId="6" borderId="1" xfId="0" applyFont="1" applyFill="1" applyBorder="1"/>
    <xf numFmtId="0" fontId="3" fillId="6" borderId="3" xfId="0" applyFont="1" applyFill="1" applyBorder="1"/>
    <xf numFmtId="0" fontId="3" fillId="6" borderId="2" xfId="0" applyFont="1" applyFill="1" applyBorder="1"/>
    <xf numFmtId="0" fontId="3" fillId="6" borderId="4" xfId="0" applyFont="1" applyFill="1" applyBorder="1"/>
    <xf numFmtId="0" fontId="3" fillId="6" borderId="5" xfId="0" applyFont="1" applyFill="1" applyBorder="1"/>
    <xf numFmtId="0" fontId="3" fillId="6" borderId="6" xfId="0" applyFont="1" applyFill="1" applyBorder="1"/>
    <xf numFmtId="0" fontId="3" fillId="6" borderId="0" xfId="0" applyFont="1" applyFill="1"/>
    <xf numFmtId="0" fontId="3" fillId="6" borderId="0" xfId="0" quotePrefix="1" applyFont="1" applyFill="1"/>
    <xf numFmtId="22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202E-8AB8-0647-A2A7-FA6D0B333E78}">
  <dimension ref="A1:N17"/>
  <sheetViews>
    <sheetView workbookViewId="0">
      <selection activeCell="H14" sqref="H14"/>
    </sheetView>
  </sheetViews>
  <sheetFormatPr baseColWidth="10" defaultRowHeight="16" x14ac:dyDescent="0.2"/>
  <cols>
    <col min="3" max="3" width="11.83203125" bestFit="1" customWidth="1"/>
  </cols>
  <sheetData>
    <row r="1" spans="1:14" ht="27" thickBot="1" x14ac:dyDescent="0.35">
      <c r="A1" s="7"/>
      <c r="B1" s="8" t="s">
        <v>16</v>
      </c>
      <c r="C1" s="9" t="s">
        <v>18</v>
      </c>
      <c r="E1" s="6" t="s">
        <v>21</v>
      </c>
      <c r="F1" s="6"/>
      <c r="G1" s="6"/>
      <c r="H1" s="6"/>
      <c r="I1" s="6"/>
      <c r="J1" s="6"/>
      <c r="K1" s="6"/>
      <c r="L1" s="6"/>
      <c r="M1" s="6"/>
      <c r="N1" s="6"/>
    </row>
    <row r="2" spans="1:14" ht="21" x14ac:dyDescent="0.25">
      <c r="A2" s="10" t="s">
        <v>19</v>
      </c>
      <c r="B2" s="11" t="s">
        <v>15</v>
      </c>
      <c r="C2" s="12">
        <v>0</v>
      </c>
      <c r="E2" s="6" t="s">
        <v>22</v>
      </c>
      <c r="F2" s="6"/>
      <c r="G2" s="6"/>
      <c r="H2" s="6"/>
      <c r="I2" s="6"/>
      <c r="J2" s="6"/>
      <c r="K2" s="6"/>
      <c r="L2" s="6"/>
      <c r="M2" s="6"/>
      <c r="N2" s="6"/>
    </row>
    <row r="3" spans="1:14" ht="21" x14ac:dyDescent="0.25">
      <c r="A3" s="13" t="s">
        <v>20</v>
      </c>
      <c r="B3" s="14" t="s">
        <v>17</v>
      </c>
      <c r="C3" s="15">
        <v>0</v>
      </c>
      <c r="E3" s="6" t="b">
        <v>1</v>
      </c>
      <c r="F3" s="6">
        <v>1</v>
      </c>
      <c r="G3" s="6"/>
      <c r="H3" s="6"/>
      <c r="I3" s="6"/>
      <c r="J3" s="6"/>
      <c r="K3" s="6"/>
      <c r="L3" s="6"/>
      <c r="M3" s="6"/>
      <c r="N3" s="6"/>
    </row>
    <row r="4" spans="1:14" ht="21" x14ac:dyDescent="0.25">
      <c r="A4" s="13" t="s">
        <v>36</v>
      </c>
      <c r="B4" s="14" t="s">
        <v>52</v>
      </c>
      <c r="C4" s="15">
        <v>0</v>
      </c>
      <c r="E4" s="6" t="b">
        <v>0</v>
      </c>
      <c r="F4" s="6">
        <v>0</v>
      </c>
      <c r="G4" s="6"/>
      <c r="H4" s="6"/>
      <c r="I4" s="6"/>
      <c r="J4" s="6"/>
      <c r="K4" s="6"/>
      <c r="L4" s="6"/>
      <c r="M4" s="6"/>
      <c r="N4" s="6"/>
    </row>
    <row r="5" spans="1:14" ht="21" x14ac:dyDescent="0.25">
      <c r="A5" s="13" t="s">
        <v>40</v>
      </c>
      <c r="B5" s="14" t="s">
        <v>53</v>
      </c>
      <c r="C5" s="15">
        <v>0</v>
      </c>
      <c r="E5" s="6" t="s">
        <v>23</v>
      </c>
      <c r="F5" s="6"/>
      <c r="G5" s="6"/>
      <c r="H5" s="6"/>
      <c r="I5" s="6"/>
      <c r="J5" s="6"/>
      <c r="K5" s="6"/>
      <c r="L5" s="6"/>
      <c r="M5" s="6"/>
      <c r="N5" s="6"/>
    </row>
    <row r="6" spans="1:14" ht="21" x14ac:dyDescent="0.25">
      <c r="A6" s="13" t="s">
        <v>41</v>
      </c>
      <c r="B6" s="14" t="s">
        <v>54</v>
      </c>
      <c r="C6" s="15">
        <v>1</v>
      </c>
      <c r="E6" s="6"/>
      <c r="F6" s="6"/>
      <c r="G6" s="6"/>
      <c r="H6" s="6"/>
      <c r="I6" s="6"/>
      <c r="J6" s="6"/>
      <c r="K6" s="6"/>
      <c r="L6" s="6"/>
      <c r="M6" s="6"/>
      <c r="N6" s="6"/>
    </row>
    <row r="7" spans="1:14" ht="21" x14ac:dyDescent="0.25">
      <c r="A7" s="13" t="s">
        <v>42</v>
      </c>
      <c r="B7" s="14" t="s">
        <v>43</v>
      </c>
      <c r="C7" s="15">
        <v>0</v>
      </c>
      <c r="E7" s="6"/>
      <c r="F7" s="6"/>
      <c r="G7" s="6"/>
      <c r="H7" s="6"/>
      <c r="I7" s="6"/>
      <c r="J7" s="6"/>
      <c r="K7" s="6"/>
      <c r="L7" s="6"/>
      <c r="M7" s="6"/>
      <c r="N7" s="6"/>
    </row>
    <row r="8" spans="1:14" ht="21" x14ac:dyDescent="0.25">
      <c r="A8" s="13" t="s">
        <v>44</v>
      </c>
      <c r="B8" s="14" t="s">
        <v>45</v>
      </c>
      <c r="C8" s="15">
        <v>0</v>
      </c>
    </row>
    <row r="9" spans="1:14" ht="21" x14ac:dyDescent="0.25">
      <c r="A9" s="13" t="s">
        <v>46</v>
      </c>
      <c r="B9" s="14" t="s">
        <v>47</v>
      </c>
      <c r="C9" s="15">
        <v>0</v>
      </c>
    </row>
    <row r="10" spans="1:14" ht="21" x14ac:dyDescent="0.25">
      <c r="A10" s="13" t="s">
        <v>48</v>
      </c>
      <c r="B10" s="14" t="s">
        <v>49</v>
      </c>
      <c r="C10" s="15">
        <v>0</v>
      </c>
    </row>
    <row r="11" spans="1:14" ht="21" x14ac:dyDescent="0.25">
      <c r="A11" s="13" t="s">
        <v>50</v>
      </c>
      <c r="B11" s="14" t="s">
        <v>51</v>
      </c>
      <c r="C11" s="15">
        <v>0</v>
      </c>
    </row>
    <row r="12" spans="1:14" ht="21" x14ac:dyDescent="0.25">
      <c r="A12" s="16"/>
      <c r="B12" s="14"/>
      <c r="C12" s="15"/>
    </row>
    <row r="13" spans="1:14" ht="21" x14ac:dyDescent="0.25">
      <c r="A13" s="16"/>
      <c r="B13" s="14"/>
      <c r="C13" s="15"/>
    </row>
    <row r="14" spans="1:14" ht="21" x14ac:dyDescent="0.25">
      <c r="A14" s="16"/>
      <c r="B14" s="14"/>
      <c r="C14" s="15"/>
    </row>
    <row r="15" spans="1:14" ht="21" x14ac:dyDescent="0.25">
      <c r="A15" s="16"/>
      <c r="B15" s="14"/>
      <c r="C15" s="15"/>
    </row>
    <row r="16" spans="1:14" ht="21" x14ac:dyDescent="0.25">
      <c r="A16" s="16"/>
      <c r="B16" s="14"/>
      <c r="C16" s="15"/>
    </row>
    <row r="17" spans="1:3" ht="22" thickBot="1" x14ac:dyDescent="0.3">
      <c r="A17" s="17"/>
      <c r="B17" s="18"/>
      <c r="C17" s="19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C378E-633F-184B-BB01-7D88E097ADC9}">
  <sheetPr codeName="Sheet11"/>
  <dimension ref="A1:Y150"/>
  <sheetViews>
    <sheetView tabSelected="1" zoomScale="94" zoomScaleNormal="94" workbookViewId="0">
      <selection activeCell="E15" sqref="E15"/>
    </sheetView>
  </sheetViews>
  <sheetFormatPr baseColWidth="10" defaultColWidth="11" defaultRowHeight="16" x14ac:dyDescent="0.2"/>
  <cols>
    <col min="1" max="1" width="16.1640625" customWidth="1"/>
    <col min="2" max="2" width="22.1640625" customWidth="1"/>
    <col min="3" max="3" width="16.83203125" customWidth="1"/>
    <col min="4" max="4" width="15.33203125" customWidth="1"/>
  </cols>
  <sheetData>
    <row r="1" spans="1:25" ht="21" x14ac:dyDescent="0.25">
      <c r="A1" s="20" t="s">
        <v>24</v>
      </c>
      <c r="B1" s="20" t="s">
        <v>55</v>
      </c>
      <c r="C1" s="20" t="s">
        <v>56</v>
      </c>
      <c r="D1" s="20" t="s">
        <v>57</v>
      </c>
      <c r="E1" s="20" t="s">
        <v>29</v>
      </c>
    </row>
    <row r="2" spans="1:25" ht="21" x14ac:dyDescent="0.25">
      <c r="A2" s="20">
        <v>68.650000000000006</v>
      </c>
      <c r="B2" s="20">
        <v>69</v>
      </c>
      <c r="C2" s="20">
        <v>68.2</v>
      </c>
      <c r="D2" s="20">
        <v>0.4</v>
      </c>
      <c r="E2" s="21">
        <v>3</v>
      </c>
    </row>
    <row r="4" spans="1:25" x14ac:dyDescent="0.2">
      <c r="B4" t="s">
        <v>37</v>
      </c>
      <c r="G4" s="6" t="s">
        <v>25</v>
      </c>
      <c r="H4" s="6" t="s">
        <v>26</v>
      </c>
      <c r="I4" s="6" t="s">
        <v>27</v>
      </c>
      <c r="J4" s="6" t="s">
        <v>28</v>
      </c>
      <c r="N4" s="3" t="s">
        <v>25</v>
      </c>
      <c r="O4" s="3" t="s">
        <v>26</v>
      </c>
      <c r="P4" s="3" t="s">
        <v>27</v>
      </c>
      <c r="Q4" s="3" t="s">
        <v>28</v>
      </c>
      <c r="U4" s="4" t="s">
        <v>25</v>
      </c>
      <c r="V4" s="4" t="s">
        <v>26</v>
      </c>
      <c r="W4" s="4" t="s">
        <v>27</v>
      </c>
      <c r="X4" s="4" t="s">
        <v>28</v>
      </c>
    </row>
    <row r="5" spans="1:25" x14ac:dyDescent="0.2">
      <c r="B5">
        <v>89.63</v>
      </c>
      <c r="G5" s="6">
        <v>68</v>
      </c>
      <c r="H5" s="6">
        <v>6.5</v>
      </c>
      <c r="I5" s="6">
        <v>39</v>
      </c>
      <c r="J5" s="6"/>
      <c r="N5" s="3">
        <f>G5</f>
        <v>68</v>
      </c>
      <c r="O5" s="3">
        <f>H5+0.25</f>
        <v>6.75</v>
      </c>
      <c r="P5" s="3">
        <f>I5</f>
        <v>39</v>
      </c>
      <c r="Q5" s="3"/>
      <c r="U5" s="3">
        <f>N5</f>
        <v>68</v>
      </c>
      <c r="V5" s="3">
        <f>H5+0.5</f>
        <v>7</v>
      </c>
      <c r="W5" s="3">
        <f>P5</f>
        <v>39</v>
      </c>
      <c r="X5" s="4"/>
    </row>
    <row r="8" spans="1:25" x14ac:dyDescent="0.2">
      <c r="A8" s="5" t="s">
        <v>30</v>
      </c>
      <c r="B8" s="5" t="s">
        <v>31</v>
      </c>
      <c r="C8" s="5" t="s">
        <v>38</v>
      </c>
      <c r="D8" s="5" t="s">
        <v>39</v>
      </c>
      <c r="F8" s="6" t="s">
        <v>30</v>
      </c>
      <c r="G8" s="6" t="s">
        <v>31</v>
      </c>
      <c r="H8" s="6" t="s">
        <v>32</v>
      </c>
      <c r="I8" s="6" t="s">
        <v>33</v>
      </c>
      <c r="J8" s="6" t="s">
        <v>34</v>
      </c>
      <c r="K8" s="6" t="s">
        <v>35</v>
      </c>
      <c r="M8" s="3" t="s">
        <v>30</v>
      </c>
      <c r="N8" s="3" t="s">
        <v>31</v>
      </c>
      <c r="O8" s="3" t="s">
        <v>32</v>
      </c>
      <c r="P8" s="3" t="s">
        <v>33</v>
      </c>
      <c r="Q8" s="3" t="s">
        <v>34</v>
      </c>
      <c r="R8" s="3" t="s">
        <v>35</v>
      </c>
      <c r="T8" s="4" t="s">
        <v>30</v>
      </c>
      <c r="U8" s="4" t="s">
        <v>31</v>
      </c>
      <c r="V8" s="4" t="s">
        <v>32</v>
      </c>
      <c r="W8" s="4" t="s">
        <v>33</v>
      </c>
      <c r="X8" s="4" t="s">
        <v>34</v>
      </c>
      <c r="Y8" s="4" t="s">
        <v>35</v>
      </c>
    </row>
    <row r="9" spans="1:25" x14ac:dyDescent="0.2">
      <c r="A9" s="5"/>
      <c r="B9" s="5"/>
      <c r="C9" s="5"/>
      <c r="D9" s="5"/>
      <c r="F9" s="6">
        <v>0</v>
      </c>
      <c r="G9" s="6">
        <v>68.650000000000006</v>
      </c>
      <c r="H9" s="6">
        <v>1.8</v>
      </c>
      <c r="I9" s="6">
        <v>1.0900000000000001</v>
      </c>
      <c r="J9" s="6">
        <v>0</v>
      </c>
      <c r="K9" s="6">
        <v>0</v>
      </c>
      <c r="M9" s="3">
        <v>0</v>
      </c>
      <c r="N9" s="3">
        <v>68.650000000000006</v>
      </c>
      <c r="O9" s="3">
        <v>1.83</v>
      </c>
      <c r="P9" s="3">
        <v>1.1100000000000001</v>
      </c>
      <c r="Q9" s="3">
        <v>0</v>
      </c>
      <c r="R9" s="3">
        <v>0</v>
      </c>
      <c r="T9" s="4">
        <v>0</v>
      </c>
      <c r="U9" s="4">
        <v>68.650000000000006</v>
      </c>
      <c r="V9" s="4">
        <v>1.86</v>
      </c>
      <c r="W9" s="4">
        <v>1.1399999999999999</v>
      </c>
      <c r="X9" s="4">
        <v>0</v>
      </c>
      <c r="Y9" s="4">
        <v>0</v>
      </c>
    </row>
    <row r="10" spans="1:25" x14ac:dyDescent="0.2">
      <c r="A10" s="5"/>
      <c r="B10" s="5"/>
      <c r="C10" s="5"/>
      <c r="D10" s="5"/>
      <c r="F10" s="6">
        <v>0.51</v>
      </c>
      <c r="G10" s="6">
        <v>69</v>
      </c>
      <c r="H10" s="6">
        <v>2.02</v>
      </c>
      <c r="I10" s="6">
        <v>0.95</v>
      </c>
      <c r="J10" s="6">
        <v>11.81</v>
      </c>
      <c r="K10" s="6">
        <v>-12.58</v>
      </c>
      <c r="M10" s="3">
        <v>0.51</v>
      </c>
      <c r="N10" s="3">
        <v>69</v>
      </c>
      <c r="O10" s="3">
        <v>2.0499999999999998</v>
      </c>
      <c r="P10" s="3">
        <v>0.98</v>
      </c>
      <c r="Q10" s="3">
        <v>11.6</v>
      </c>
      <c r="R10" s="3">
        <v>-12.33</v>
      </c>
      <c r="T10" s="4">
        <v>0.51</v>
      </c>
      <c r="U10" s="4">
        <v>69</v>
      </c>
      <c r="V10" s="4">
        <v>2.0699999999999998</v>
      </c>
      <c r="W10" s="4">
        <v>1</v>
      </c>
      <c r="X10" s="4">
        <v>11.41</v>
      </c>
      <c r="Y10" s="4">
        <v>-12.1</v>
      </c>
    </row>
    <row r="11" spans="1:25" x14ac:dyDescent="0.2">
      <c r="A11" s="5"/>
      <c r="B11" s="5"/>
      <c r="C11" s="5"/>
      <c r="D11" s="5"/>
      <c r="F11" s="6">
        <v>-0.66</v>
      </c>
      <c r="G11" s="6">
        <v>68.2</v>
      </c>
      <c r="H11" s="6">
        <v>1.55</v>
      </c>
      <c r="I11" s="6">
        <v>1.28</v>
      </c>
      <c r="J11" s="6">
        <v>-14.1</v>
      </c>
      <c r="K11" s="6">
        <v>17.98</v>
      </c>
      <c r="M11" s="3">
        <v>-0.66</v>
      </c>
      <c r="N11" s="3">
        <v>68.2</v>
      </c>
      <c r="O11" s="3">
        <v>1.58</v>
      </c>
      <c r="P11" s="3">
        <v>1.31</v>
      </c>
      <c r="Q11" s="3">
        <v>-13.87</v>
      </c>
      <c r="R11" s="3">
        <v>17.59</v>
      </c>
      <c r="T11" s="4">
        <v>-0.66</v>
      </c>
      <c r="U11" s="4">
        <v>68.2</v>
      </c>
      <c r="V11" s="4">
        <v>1.61</v>
      </c>
      <c r="W11" s="4">
        <v>1.33</v>
      </c>
      <c r="X11" s="4">
        <v>-13.65</v>
      </c>
      <c r="Y11" s="4">
        <v>17.22</v>
      </c>
    </row>
    <row r="12" spans="1:25" x14ac:dyDescent="0.2">
      <c r="A12" s="5"/>
      <c r="B12" s="5"/>
      <c r="C12" s="5"/>
      <c r="D12" s="5"/>
      <c r="F12" s="6">
        <v>2.91</v>
      </c>
      <c r="G12" s="6">
        <v>70.650000000000006</v>
      </c>
      <c r="H12" s="6">
        <v>3.19</v>
      </c>
      <c r="I12" s="6">
        <v>0.47</v>
      </c>
      <c r="J12" s="6">
        <v>76.569999999999993</v>
      </c>
      <c r="K12" s="6">
        <v>-56.8</v>
      </c>
      <c r="M12" s="3">
        <v>2.91</v>
      </c>
      <c r="N12" s="3">
        <v>70.650000000000006</v>
      </c>
      <c r="O12" s="3">
        <v>3.21</v>
      </c>
      <c r="P12" s="3">
        <v>0.49</v>
      </c>
      <c r="Q12" s="3">
        <v>75.12</v>
      </c>
      <c r="R12" s="3">
        <v>-55.98</v>
      </c>
      <c r="T12" s="4">
        <v>2.91</v>
      </c>
      <c r="U12" s="4">
        <v>70.650000000000006</v>
      </c>
      <c r="V12" s="4">
        <v>3.23</v>
      </c>
      <c r="W12" s="4">
        <v>0.51</v>
      </c>
      <c r="X12" s="4">
        <v>73.739999999999995</v>
      </c>
      <c r="Y12" s="4">
        <v>-55.19</v>
      </c>
    </row>
    <row r="13" spans="1:25" x14ac:dyDescent="0.2">
      <c r="A13" s="5"/>
      <c r="B13" s="5"/>
      <c r="C13" s="5"/>
      <c r="D13" s="5"/>
      <c r="F13" s="6">
        <v>2.33</v>
      </c>
      <c r="G13" s="6">
        <v>70.25</v>
      </c>
      <c r="H13" s="6">
        <v>2.88</v>
      </c>
      <c r="I13" s="6">
        <v>0.56000000000000005</v>
      </c>
      <c r="J13" s="6">
        <v>59.6</v>
      </c>
      <c r="K13" s="6">
        <v>-48.19</v>
      </c>
      <c r="M13" s="3">
        <v>2.33</v>
      </c>
      <c r="N13" s="3">
        <v>70.25</v>
      </c>
      <c r="O13" s="3">
        <v>2.9</v>
      </c>
      <c r="P13" s="3">
        <v>0.59</v>
      </c>
      <c r="Q13" s="3">
        <v>58.49</v>
      </c>
      <c r="R13" s="3">
        <v>-47.43</v>
      </c>
      <c r="T13" s="4">
        <v>2.33</v>
      </c>
      <c r="U13" s="4">
        <v>70.25</v>
      </c>
      <c r="V13" s="4">
        <v>2.93</v>
      </c>
      <c r="W13" s="4">
        <v>0.61</v>
      </c>
      <c r="X13" s="4">
        <v>57.43</v>
      </c>
      <c r="Y13" s="4">
        <v>-46.71</v>
      </c>
    </row>
    <row r="14" spans="1:25" x14ac:dyDescent="0.2">
      <c r="A14" s="5"/>
      <c r="B14" s="5"/>
      <c r="C14" s="5"/>
      <c r="D14" s="5"/>
      <c r="F14" s="6">
        <v>1.75</v>
      </c>
      <c r="G14" s="6">
        <v>69.849999999999994</v>
      </c>
      <c r="H14" s="6">
        <v>2.59</v>
      </c>
      <c r="I14" s="6">
        <v>0.67</v>
      </c>
      <c r="J14" s="6">
        <v>43.4</v>
      </c>
      <c r="K14" s="6">
        <v>-38.29</v>
      </c>
      <c r="M14" s="3">
        <v>1.75</v>
      </c>
      <c r="N14" s="3">
        <v>69.849999999999994</v>
      </c>
      <c r="O14" s="3">
        <v>2.61</v>
      </c>
      <c r="P14" s="3">
        <v>0.69</v>
      </c>
      <c r="Q14" s="3">
        <v>42.61</v>
      </c>
      <c r="R14" s="3">
        <v>-37.64</v>
      </c>
      <c r="T14" s="4">
        <v>1.75</v>
      </c>
      <c r="U14" s="4">
        <v>69.849999999999994</v>
      </c>
      <c r="V14" s="4">
        <v>2.64</v>
      </c>
      <c r="W14" s="4">
        <v>0.72</v>
      </c>
      <c r="X14" s="4">
        <v>41.85</v>
      </c>
      <c r="Y14" s="4">
        <v>-37.03</v>
      </c>
    </row>
    <row r="15" spans="1:25" x14ac:dyDescent="0.2">
      <c r="A15" s="5"/>
      <c r="B15" s="5"/>
      <c r="C15" s="5"/>
      <c r="D15" s="5"/>
      <c r="F15" s="6">
        <v>1.17</v>
      </c>
      <c r="G15" s="6">
        <v>69.45</v>
      </c>
      <c r="H15" s="6">
        <v>2.31</v>
      </c>
      <c r="I15" s="6">
        <v>0.79</v>
      </c>
      <c r="J15" s="6">
        <v>28.04</v>
      </c>
      <c r="K15" s="6">
        <v>-27.02</v>
      </c>
      <c r="M15" s="3">
        <v>1.17</v>
      </c>
      <c r="N15" s="3">
        <v>69.45</v>
      </c>
      <c r="O15" s="3">
        <v>2.34</v>
      </c>
      <c r="P15" s="3">
        <v>0.82</v>
      </c>
      <c r="Q15" s="3">
        <v>27.53</v>
      </c>
      <c r="R15" s="3">
        <v>-26.53</v>
      </c>
      <c r="T15" s="4">
        <v>1.17</v>
      </c>
      <c r="U15" s="4">
        <v>69.45</v>
      </c>
      <c r="V15" s="4">
        <v>2.36</v>
      </c>
      <c r="W15" s="4">
        <v>0.84</v>
      </c>
      <c r="X15" s="4">
        <v>27.06</v>
      </c>
      <c r="Y15" s="4">
        <v>-26.06</v>
      </c>
    </row>
    <row r="16" spans="1:25" x14ac:dyDescent="0.2">
      <c r="A16" s="5"/>
      <c r="B16" s="5"/>
      <c r="C16" s="5"/>
      <c r="D16" s="5"/>
      <c r="F16" s="6">
        <v>0.57999999999999996</v>
      </c>
      <c r="G16" s="6">
        <v>69.05</v>
      </c>
      <c r="H16" s="6">
        <v>2.0499999999999998</v>
      </c>
      <c r="I16" s="6">
        <v>0.93</v>
      </c>
      <c r="J16" s="6">
        <v>13.55</v>
      </c>
      <c r="K16" s="6">
        <v>-14.28</v>
      </c>
      <c r="M16" s="3">
        <v>0.57999999999999996</v>
      </c>
      <c r="N16" s="3">
        <v>69.05</v>
      </c>
      <c r="O16" s="3">
        <v>2.08</v>
      </c>
      <c r="P16" s="3">
        <v>0.96</v>
      </c>
      <c r="Q16" s="3">
        <v>13.32</v>
      </c>
      <c r="R16" s="3">
        <v>-14</v>
      </c>
      <c r="T16" s="4">
        <v>0.57999999999999996</v>
      </c>
      <c r="U16" s="4">
        <v>69.05</v>
      </c>
      <c r="V16" s="4">
        <v>2.1</v>
      </c>
      <c r="W16" s="4">
        <v>0.98</v>
      </c>
      <c r="X16" s="4">
        <v>13.09</v>
      </c>
      <c r="Y16" s="4">
        <v>-13.74</v>
      </c>
    </row>
    <row r="17" spans="1:25" x14ac:dyDescent="0.2">
      <c r="A17" s="5"/>
      <c r="B17" s="5"/>
      <c r="C17" s="5"/>
      <c r="D17" s="5"/>
      <c r="F17" s="6">
        <v>0</v>
      </c>
      <c r="G17" s="6">
        <v>68.650000000000006</v>
      </c>
      <c r="H17" s="6">
        <v>1.8</v>
      </c>
      <c r="I17" s="6">
        <v>1.0900000000000001</v>
      </c>
      <c r="J17" s="6">
        <v>0</v>
      </c>
      <c r="K17" s="6">
        <v>0</v>
      </c>
      <c r="M17" s="3">
        <v>0</v>
      </c>
      <c r="N17" s="3">
        <v>68.650000000000006</v>
      </c>
      <c r="O17" s="3">
        <v>1.83</v>
      </c>
      <c r="P17" s="3">
        <v>1.1100000000000001</v>
      </c>
      <c r="Q17" s="3">
        <v>0</v>
      </c>
      <c r="R17" s="3">
        <v>0</v>
      </c>
      <c r="T17" s="4">
        <v>0</v>
      </c>
      <c r="U17" s="4">
        <v>68.650000000000006</v>
      </c>
      <c r="V17" s="4">
        <v>1.86</v>
      </c>
      <c r="W17" s="4">
        <v>1.1399999999999999</v>
      </c>
      <c r="X17" s="4">
        <v>0</v>
      </c>
      <c r="Y17" s="4">
        <v>0</v>
      </c>
    </row>
    <row r="18" spans="1:25" x14ac:dyDescent="0.2">
      <c r="A18" s="5"/>
      <c r="B18" s="5"/>
      <c r="C18" s="5"/>
      <c r="D18" s="5"/>
      <c r="F18" s="6">
        <v>-0.57999999999999996</v>
      </c>
      <c r="G18" s="6">
        <v>68.25</v>
      </c>
      <c r="H18" s="6">
        <v>1.58</v>
      </c>
      <c r="I18" s="6">
        <v>1.26</v>
      </c>
      <c r="J18" s="6">
        <v>-12.59</v>
      </c>
      <c r="K18" s="6">
        <v>15.88</v>
      </c>
      <c r="M18" s="3">
        <v>-0.57999999999999996</v>
      </c>
      <c r="N18" s="3">
        <v>68.25</v>
      </c>
      <c r="O18" s="3">
        <v>1.61</v>
      </c>
      <c r="P18" s="3">
        <v>1.29</v>
      </c>
      <c r="Q18" s="3">
        <v>-12.39</v>
      </c>
      <c r="R18" s="3">
        <v>15.54</v>
      </c>
      <c r="T18" s="4">
        <v>-0.57999999999999996</v>
      </c>
      <c r="U18" s="4">
        <v>68.25</v>
      </c>
      <c r="V18" s="4">
        <v>1.63</v>
      </c>
      <c r="W18" s="4">
        <v>1.31</v>
      </c>
      <c r="X18" s="4">
        <v>-12.19</v>
      </c>
      <c r="Y18" s="4">
        <v>15.22</v>
      </c>
    </row>
    <row r="19" spans="1:25" x14ac:dyDescent="0.2">
      <c r="A19" s="5"/>
      <c r="B19" s="5"/>
      <c r="C19" s="5"/>
      <c r="D19" s="5"/>
      <c r="F19" s="6">
        <v>-1.17</v>
      </c>
      <c r="G19" s="6">
        <v>67.849999999999994</v>
      </c>
      <c r="H19" s="6">
        <v>1.37</v>
      </c>
      <c r="I19" s="6">
        <v>1.45</v>
      </c>
      <c r="J19" s="6">
        <v>-24.19</v>
      </c>
      <c r="K19" s="6">
        <v>33.39</v>
      </c>
      <c r="M19" s="3">
        <v>-1.17</v>
      </c>
      <c r="N19" s="3">
        <v>67.849999999999994</v>
      </c>
      <c r="O19" s="3">
        <v>1.4</v>
      </c>
      <c r="P19" s="3">
        <v>1.48</v>
      </c>
      <c r="Q19" s="3">
        <v>-23.82</v>
      </c>
      <c r="R19" s="3">
        <v>32.65</v>
      </c>
      <c r="T19" s="4">
        <v>-1.17</v>
      </c>
      <c r="U19" s="4">
        <v>67.849999999999994</v>
      </c>
      <c r="V19" s="4">
        <v>1.42</v>
      </c>
      <c r="W19" s="4">
        <v>1.5</v>
      </c>
      <c r="X19" s="4">
        <v>-23.46</v>
      </c>
      <c r="Y19" s="4">
        <v>31.94</v>
      </c>
    </row>
    <row r="20" spans="1:25" x14ac:dyDescent="0.2">
      <c r="A20" s="5"/>
      <c r="B20" s="5"/>
      <c r="C20" s="5"/>
      <c r="D20" s="5"/>
      <c r="F20" s="6">
        <v>-1.75</v>
      </c>
      <c r="G20" s="6">
        <v>67.45</v>
      </c>
      <c r="H20" s="6">
        <v>1.18</v>
      </c>
      <c r="I20" s="6">
        <v>1.66</v>
      </c>
      <c r="J20" s="6">
        <v>-34.79</v>
      </c>
      <c r="K20" s="6">
        <v>52.57</v>
      </c>
      <c r="M20" s="3">
        <v>-1.75</v>
      </c>
      <c r="N20" s="3">
        <v>67.45</v>
      </c>
      <c r="O20" s="3">
        <v>1.2</v>
      </c>
      <c r="P20" s="3">
        <v>1.69</v>
      </c>
      <c r="Q20" s="3">
        <v>-34.28</v>
      </c>
      <c r="R20" s="3">
        <v>51.34</v>
      </c>
      <c r="T20" s="4">
        <v>-1.75</v>
      </c>
      <c r="U20" s="4">
        <v>67.45</v>
      </c>
      <c r="V20" s="4">
        <v>1.23</v>
      </c>
      <c r="W20" s="4">
        <v>1.71</v>
      </c>
      <c r="X20" s="4">
        <v>-33.79</v>
      </c>
      <c r="Y20" s="4">
        <v>50.2</v>
      </c>
    </row>
    <row r="21" spans="1:25" x14ac:dyDescent="0.2">
      <c r="A21" s="5"/>
      <c r="B21" s="5"/>
      <c r="C21" s="5"/>
      <c r="D21" s="5"/>
      <c r="F21" s="6">
        <v>-2.33</v>
      </c>
      <c r="G21" s="6">
        <v>67.05</v>
      </c>
      <c r="H21" s="6">
        <v>1</v>
      </c>
      <c r="I21" s="6">
        <v>1.89</v>
      </c>
      <c r="J21" s="6">
        <v>-44.4</v>
      </c>
      <c r="K21" s="6">
        <v>73.400000000000006</v>
      </c>
      <c r="M21" s="3">
        <v>-2.33</v>
      </c>
      <c r="N21" s="3">
        <v>67.05</v>
      </c>
      <c r="O21" s="3">
        <v>1.03</v>
      </c>
      <c r="P21" s="3">
        <v>1.91</v>
      </c>
      <c r="Q21" s="3">
        <v>-43.78</v>
      </c>
      <c r="R21" s="3">
        <v>71.64</v>
      </c>
      <c r="T21" s="4">
        <v>-2.33</v>
      </c>
      <c r="U21" s="4">
        <v>67.05</v>
      </c>
      <c r="V21" s="4">
        <v>1.06</v>
      </c>
      <c r="W21" s="4">
        <v>1.94</v>
      </c>
      <c r="X21" s="4">
        <v>-43.19</v>
      </c>
      <c r="Y21" s="4">
        <v>69.98</v>
      </c>
    </row>
    <row r="22" spans="1:25" x14ac:dyDescent="0.2">
      <c r="A22" s="5"/>
      <c r="B22" s="5"/>
      <c r="C22" s="5"/>
      <c r="D22" s="5"/>
      <c r="F22" s="6">
        <v>-2.91</v>
      </c>
      <c r="G22" s="6">
        <v>66.650000000000006</v>
      </c>
      <c r="H22" s="6">
        <v>0.85</v>
      </c>
      <c r="I22" s="6">
        <v>2.13</v>
      </c>
      <c r="J22" s="6">
        <v>-53.01</v>
      </c>
      <c r="K22" s="6">
        <v>95.87</v>
      </c>
      <c r="M22" s="3">
        <v>-2.91</v>
      </c>
      <c r="N22" s="3">
        <v>66.650000000000006</v>
      </c>
      <c r="O22" s="3">
        <v>0.87</v>
      </c>
      <c r="P22" s="3">
        <v>2.15</v>
      </c>
      <c r="Q22" s="3">
        <v>-52.32</v>
      </c>
      <c r="R22" s="3">
        <v>93.5</v>
      </c>
      <c r="T22" s="4">
        <v>-2.91</v>
      </c>
      <c r="U22" s="4">
        <v>66.650000000000006</v>
      </c>
      <c r="V22" s="4">
        <v>0.9</v>
      </c>
      <c r="W22" s="4">
        <v>2.1800000000000002</v>
      </c>
      <c r="X22" s="4">
        <v>-51.66</v>
      </c>
      <c r="Y22" s="4">
        <v>91.28</v>
      </c>
    </row>
    <row r="23" spans="1:25" x14ac:dyDescent="0.2">
      <c r="A23" s="5"/>
      <c r="B23" s="5"/>
      <c r="C23" s="5"/>
      <c r="D23" s="5"/>
      <c r="F23" s="6">
        <v>-3.5</v>
      </c>
      <c r="G23" s="6">
        <v>66.25</v>
      </c>
      <c r="H23" s="6">
        <v>0.71</v>
      </c>
      <c r="I23" s="6">
        <v>2.39</v>
      </c>
      <c r="J23" s="6">
        <v>-60.66</v>
      </c>
      <c r="K23" s="6">
        <v>119.94</v>
      </c>
      <c r="M23" s="3">
        <v>-3.5</v>
      </c>
      <c r="N23" s="3">
        <v>66.25</v>
      </c>
      <c r="O23" s="3">
        <v>0.73</v>
      </c>
      <c r="P23" s="3">
        <v>2.42</v>
      </c>
      <c r="Q23" s="3">
        <v>-59.93</v>
      </c>
      <c r="R23" s="3">
        <v>116.9</v>
      </c>
      <c r="T23" s="4">
        <v>-3.5</v>
      </c>
      <c r="U23" s="4">
        <v>66.25</v>
      </c>
      <c r="V23" s="4">
        <v>0.76</v>
      </c>
      <c r="W23" s="4">
        <v>2.44</v>
      </c>
      <c r="X23" s="4">
        <v>-59.22</v>
      </c>
      <c r="Y23" s="4">
        <v>114.05</v>
      </c>
    </row>
    <row r="24" spans="1:25" x14ac:dyDescent="0.2">
      <c r="A24" s="5"/>
      <c r="B24" s="5"/>
      <c r="C24" s="5"/>
      <c r="D24" s="5"/>
      <c r="F24" s="6">
        <v>-4.08</v>
      </c>
      <c r="G24" s="6">
        <v>65.849999999999994</v>
      </c>
      <c r="H24" s="6">
        <v>0.59</v>
      </c>
      <c r="I24" s="6">
        <v>2.67</v>
      </c>
      <c r="J24" s="6">
        <v>-67.39</v>
      </c>
      <c r="K24" s="6">
        <v>145.54</v>
      </c>
      <c r="M24" s="3">
        <v>-4.08</v>
      </c>
      <c r="N24" s="3">
        <v>65.849999999999994</v>
      </c>
      <c r="O24" s="3">
        <v>0.61</v>
      </c>
      <c r="P24" s="3">
        <v>2.69</v>
      </c>
      <c r="Q24" s="3">
        <v>-66.64</v>
      </c>
      <c r="R24" s="3">
        <v>141.77000000000001</v>
      </c>
      <c r="T24" s="4">
        <v>-4.08</v>
      </c>
      <c r="U24" s="4">
        <v>65.849999999999994</v>
      </c>
      <c r="V24" s="4">
        <v>0.63</v>
      </c>
      <c r="W24" s="4">
        <v>2.71</v>
      </c>
      <c r="X24" s="4">
        <v>-65.92</v>
      </c>
      <c r="Y24" s="4">
        <v>138.24</v>
      </c>
    </row>
    <row r="25" spans="1:25" x14ac:dyDescent="0.2">
      <c r="A25" s="5"/>
      <c r="B25" s="5"/>
      <c r="C25" s="5"/>
      <c r="D25" s="5"/>
      <c r="F25" s="6"/>
      <c r="G25" s="6"/>
      <c r="H25" s="6"/>
      <c r="I25" s="6"/>
      <c r="J25" s="6"/>
      <c r="K25" s="6"/>
      <c r="M25" s="3"/>
      <c r="N25" s="3"/>
      <c r="O25" s="3"/>
      <c r="P25" s="3"/>
      <c r="Q25" s="3"/>
      <c r="R25" s="3"/>
      <c r="T25" s="4"/>
      <c r="U25" s="4"/>
      <c r="V25" s="4"/>
      <c r="W25" s="4"/>
      <c r="X25" s="4"/>
      <c r="Y25" s="4"/>
    </row>
    <row r="26" spans="1:25" x14ac:dyDescent="0.2">
      <c r="A26" s="5"/>
      <c r="B26" s="5"/>
      <c r="C26" s="5"/>
      <c r="D26" s="5"/>
      <c r="F26" s="6"/>
      <c r="G26" s="6"/>
      <c r="H26" s="6"/>
      <c r="I26" s="6"/>
      <c r="J26" s="6"/>
      <c r="K26" s="6"/>
      <c r="M26" s="3"/>
      <c r="N26" s="3"/>
      <c r="O26" s="3"/>
      <c r="P26" s="3"/>
      <c r="Q26" s="3"/>
      <c r="R26" s="3"/>
      <c r="T26" s="4"/>
      <c r="U26" s="4"/>
      <c r="V26" s="4"/>
      <c r="W26" s="4"/>
      <c r="X26" s="4"/>
      <c r="Y26" s="4"/>
    </row>
    <row r="27" spans="1:25" x14ac:dyDescent="0.2">
      <c r="A27" s="5"/>
      <c r="B27" s="5"/>
      <c r="C27" s="5"/>
      <c r="D27" s="5"/>
      <c r="F27" s="6"/>
      <c r="G27" s="6"/>
      <c r="H27" s="6"/>
      <c r="I27" s="6"/>
      <c r="J27" s="6"/>
      <c r="K27" s="6"/>
      <c r="M27" s="3"/>
      <c r="N27" s="3"/>
      <c r="O27" s="3"/>
      <c r="P27" s="3"/>
      <c r="Q27" s="3"/>
      <c r="R27" s="3"/>
      <c r="T27" s="4"/>
      <c r="U27" s="4"/>
      <c r="V27" s="4"/>
      <c r="W27" s="4"/>
      <c r="X27" s="4"/>
      <c r="Y27" s="4"/>
    </row>
    <row r="28" spans="1:25" x14ac:dyDescent="0.2">
      <c r="A28" s="5"/>
      <c r="B28" s="5"/>
      <c r="C28" s="5"/>
      <c r="D28" s="5"/>
      <c r="F28" s="6"/>
      <c r="G28" s="6"/>
      <c r="H28" s="6"/>
      <c r="I28" s="6"/>
      <c r="J28" s="6"/>
      <c r="K28" s="6"/>
      <c r="M28" s="3"/>
      <c r="N28" s="3"/>
      <c r="O28" s="3"/>
      <c r="P28" s="3"/>
      <c r="Q28" s="3"/>
      <c r="R28" s="3"/>
      <c r="T28" s="4"/>
      <c r="U28" s="4"/>
      <c r="V28" s="4"/>
      <c r="W28" s="4"/>
      <c r="X28" s="4"/>
      <c r="Y28" s="4"/>
    </row>
    <row r="29" spans="1:25" x14ac:dyDescent="0.2">
      <c r="A29" s="5"/>
      <c r="B29" s="5"/>
      <c r="C29" s="5"/>
      <c r="D29" s="5"/>
      <c r="F29" s="6"/>
      <c r="G29" s="6"/>
      <c r="H29" s="6"/>
      <c r="I29" s="6"/>
      <c r="J29" s="6"/>
      <c r="K29" s="6"/>
      <c r="M29" s="3"/>
      <c r="N29" s="3"/>
      <c r="O29" s="3"/>
      <c r="P29" s="3"/>
      <c r="Q29" s="3"/>
      <c r="R29" s="3"/>
      <c r="T29" s="4"/>
      <c r="U29" s="4"/>
      <c r="V29" s="4"/>
      <c r="W29" s="4"/>
      <c r="X29" s="4"/>
      <c r="Y29" s="4"/>
    </row>
    <row r="30" spans="1:25" x14ac:dyDescent="0.2">
      <c r="A30" s="5"/>
      <c r="B30" s="5"/>
      <c r="C30" s="5"/>
      <c r="D30" s="5"/>
      <c r="F30" s="6"/>
      <c r="G30" s="6"/>
      <c r="H30" s="6"/>
      <c r="I30" s="6"/>
      <c r="J30" s="6"/>
      <c r="K30" s="6"/>
      <c r="M30" s="3"/>
      <c r="N30" s="3"/>
      <c r="O30" s="3"/>
      <c r="P30" s="3"/>
      <c r="Q30" s="3"/>
      <c r="R30" s="3"/>
      <c r="T30" s="4"/>
      <c r="U30" s="4"/>
      <c r="V30" s="4"/>
      <c r="W30" s="4"/>
      <c r="X30" s="4"/>
      <c r="Y30" s="4"/>
    </row>
    <row r="31" spans="1:25" x14ac:dyDescent="0.2">
      <c r="A31" s="5"/>
      <c r="B31" s="5"/>
      <c r="C31" s="5"/>
      <c r="D31" s="5"/>
      <c r="F31" s="6"/>
      <c r="G31" s="6"/>
      <c r="H31" s="6"/>
      <c r="I31" s="6"/>
      <c r="J31" s="6"/>
      <c r="K31" s="6"/>
      <c r="M31" s="3"/>
      <c r="N31" s="3"/>
      <c r="O31" s="3"/>
      <c r="P31" s="3"/>
      <c r="Q31" s="3"/>
      <c r="R31" s="3"/>
      <c r="T31" s="4"/>
      <c r="U31" s="4"/>
      <c r="V31" s="4"/>
      <c r="W31" s="4"/>
      <c r="X31" s="4"/>
      <c r="Y31" s="4"/>
    </row>
    <row r="32" spans="1:25" x14ac:dyDescent="0.2">
      <c r="A32" s="5"/>
      <c r="B32" s="5"/>
      <c r="C32" s="5"/>
      <c r="D32" s="5"/>
      <c r="F32" s="6"/>
      <c r="G32" s="6"/>
      <c r="H32" s="6"/>
      <c r="I32" s="6"/>
      <c r="J32" s="6"/>
      <c r="K32" s="6"/>
      <c r="M32" s="3"/>
      <c r="N32" s="3"/>
      <c r="O32" s="3"/>
      <c r="P32" s="3"/>
      <c r="Q32" s="3"/>
      <c r="R32" s="3"/>
      <c r="T32" s="4"/>
      <c r="U32" s="4"/>
      <c r="V32" s="4"/>
      <c r="W32" s="4"/>
      <c r="X32" s="4"/>
      <c r="Y32" s="4"/>
    </row>
    <row r="51" spans="1:2" x14ac:dyDescent="0.2">
      <c r="A51" s="22"/>
    </row>
    <row r="52" spans="1:2" x14ac:dyDescent="0.2">
      <c r="A52" s="22"/>
    </row>
    <row r="53" spans="1:2" x14ac:dyDescent="0.2">
      <c r="A53" s="22"/>
    </row>
    <row r="54" spans="1:2" x14ac:dyDescent="0.2">
      <c r="A54" s="22"/>
    </row>
    <row r="55" spans="1:2" x14ac:dyDescent="0.2">
      <c r="A55" s="22"/>
      <c r="B55" s="23"/>
    </row>
    <row r="56" spans="1:2" x14ac:dyDescent="0.2">
      <c r="A56" s="22"/>
      <c r="B56" s="23"/>
    </row>
    <row r="57" spans="1:2" x14ac:dyDescent="0.2">
      <c r="A57" s="22"/>
    </row>
    <row r="58" spans="1:2" x14ac:dyDescent="0.2">
      <c r="A58" s="22"/>
      <c r="B58" s="23"/>
    </row>
    <row r="59" spans="1:2" x14ac:dyDescent="0.2">
      <c r="A59" s="22"/>
    </row>
    <row r="60" spans="1:2" x14ac:dyDescent="0.2">
      <c r="A60" s="22"/>
    </row>
    <row r="61" spans="1:2" x14ac:dyDescent="0.2">
      <c r="A61" s="22"/>
      <c r="B61" s="23"/>
    </row>
    <row r="62" spans="1:2" x14ac:dyDescent="0.2">
      <c r="A62" s="22"/>
    </row>
    <row r="63" spans="1:2" x14ac:dyDescent="0.2">
      <c r="A63" s="22"/>
    </row>
    <row r="64" spans="1:2" x14ac:dyDescent="0.2">
      <c r="A64" s="22"/>
      <c r="B64" s="23"/>
    </row>
    <row r="65" spans="1:2" x14ac:dyDescent="0.2">
      <c r="A65" s="22"/>
    </row>
    <row r="66" spans="1:2" x14ac:dyDescent="0.2">
      <c r="A66" s="22"/>
      <c r="B66" s="23"/>
    </row>
    <row r="67" spans="1:2" x14ac:dyDescent="0.2">
      <c r="A67" s="22"/>
    </row>
    <row r="68" spans="1:2" x14ac:dyDescent="0.2">
      <c r="A68" s="22"/>
      <c r="B68" s="23"/>
    </row>
    <row r="69" spans="1:2" x14ac:dyDescent="0.2">
      <c r="A69" s="22"/>
      <c r="B69" s="23"/>
    </row>
    <row r="70" spans="1:2" x14ac:dyDescent="0.2">
      <c r="A70" s="22"/>
      <c r="B70" s="23"/>
    </row>
    <row r="71" spans="1:2" x14ac:dyDescent="0.2">
      <c r="A71" s="22"/>
      <c r="B71" s="23"/>
    </row>
    <row r="72" spans="1:2" x14ac:dyDescent="0.2">
      <c r="A72" s="22"/>
    </row>
    <row r="73" spans="1:2" x14ac:dyDescent="0.2">
      <c r="A73" s="22"/>
    </row>
    <row r="74" spans="1:2" x14ac:dyDescent="0.2">
      <c r="A74" s="22"/>
      <c r="B74" s="23"/>
    </row>
    <row r="75" spans="1:2" x14ac:dyDescent="0.2">
      <c r="A75" s="22"/>
    </row>
    <row r="76" spans="1:2" x14ac:dyDescent="0.2">
      <c r="A76" s="22"/>
    </row>
    <row r="77" spans="1:2" x14ac:dyDescent="0.2">
      <c r="A77" s="22"/>
      <c r="B77" s="23"/>
    </row>
    <row r="78" spans="1:2" x14ac:dyDescent="0.2">
      <c r="A78" s="22"/>
    </row>
    <row r="79" spans="1:2" x14ac:dyDescent="0.2">
      <c r="A79" s="22"/>
    </row>
    <row r="80" spans="1:2" x14ac:dyDescent="0.2">
      <c r="A80" s="22"/>
    </row>
    <row r="81" spans="1:2" x14ac:dyDescent="0.2">
      <c r="A81" s="22"/>
    </row>
    <row r="82" spans="1:2" x14ac:dyDescent="0.2">
      <c r="A82" s="22"/>
    </row>
    <row r="83" spans="1:2" x14ac:dyDescent="0.2">
      <c r="A83" s="22"/>
      <c r="B83" s="23"/>
    </row>
    <row r="84" spans="1:2" x14ac:dyDescent="0.2">
      <c r="A84" s="22"/>
      <c r="B84" s="23"/>
    </row>
    <row r="85" spans="1:2" x14ac:dyDescent="0.2">
      <c r="A85" s="22"/>
    </row>
    <row r="86" spans="1:2" x14ac:dyDescent="0.2">
      <c r="A86" s="22"/>
      <c r="B86" s="23"/>
    </row>
    <row r="87" spans="1:2" x14ac:dyDescent="0.2">
      <c r="A87" s="22"/>
    </row>
    <row r="88" spans="1:2" x14ac:dyDescent="0.2">
      <c r="A88" s="22"/>
    </row>
    <row r="89" spans="1:2" x14ac:dyDescent="0.2">
      <c r="A89" s="22"/>
    </row>
    <row r="90" spans="1:2" x14ac:dyDescent="0.2">
      <c r="A90" s="22"/>
    </row>
    <row r="91" spans="1:2" x14ac:dyDescent="0.2">
      <c r="A91" s="22"/>
    </row>
    <row r="92" spans="1:2" x14ac:dyDescent="0.2">
      <c r="A92" s="22"/>
    </row>
    <row r="93" spans="1:2" x14ac:dyDescent="0.2">
      <c r="A93" s="22"/>
      <c r="B93" s="23"/>
    </row>
    <row r="94" spans="1:2" x14ac:dyDescent="0.2">
      <c r="A94" s="22"/>
      <c r="B94" s="23"/>
    </row>
    <row r="95" spans="1:2" x14ac:dyDescent="0.2">
      <c r="A95" s="22"/>
      <c r="B95" s="23"/>
    </row>
    <row r="96" spans="1:2" x14ac:dyDescent="0.2">
      <c r="A96" s="22"/>
    </row>
    <row r="97" spans="1:2" x14ac:dyDescent="0.2">
      <c r="A97" s="22"/>
    </row>
    <row r="98" spans="1:2" x14ac:dyDescent="0.2">
      <c r="A98" s="22"/>
    </row>
    <row r="99" spans="1:2" x14ac:dyDescent="0.2">
      <c r="A99" s="22"/>
      <c r="B99" s="23"/>
    </row>
    <row r="100" spans="1:2" x14ac:dyDescent="0.2">
      <c r="A100" s="22"/>
    </row>
    <row r="101" spans="1:2" x14ac:dyDescent="0.2">
      <c r="A101" s="22"/>
    </row>
    <row r="102" spans="1:2" x14ac:dyDescent="0.2">
      <c r="A102" s="22"/>
      <c r="B102" s="23"/>
    </row>
    <row r="103" spans="1:2" x14ac:dyDescent="0.2">
      <c r="A103" s="22"/>
      <c r="B103" s="23"/>
    </row>
    <row r="104" spans="1:2" x14ac:dyDescent="0.2">
      <c r="A104" s="22"/>
      <c r="B104" s="23"/>
    </row>
    <row r="105" spans="1:2" x14ac:dyDescent="0.2">
      <c r="A105" s="22"/>
    </row>
    <row r="106" spans="1:2" x14ac:dyDescent="0.2">
      <c r="A106" s="22"/>
    </row>
    <row r="107" spans="1:2" x14ac:dyDescent="0.2">
      <c r="A107" s="22"/>
      <c r="B107" s="23"/>
    </row>
    <row r="108" spans="1:2" x14ac:dyDescent="0.2">
      <c r="A108" s="22"/>
      <c r="B108" s="23"/>
    </row>
    <row r="109" spans="1:2" x14ac:dyDescent="0.2">
      <c r="A109" s="22"/>
      <c r="B109" s="23"/>
    </row>
    <row r="110" spans="1:2" x14ac:dyDescent="0.2">
      <c r="A110" s="22"/>
    </row>
    <row r="111" spans="1:2" x14ac:dyDescent="0.2">
      <c r="A111" s="22"/>
    </row>
    <row r="112" spans="1:2" x14ac:dyDescent="0.2">
      <c r="A112" s="22"/>
    </row>
    <row r="113" spans="1:2" x14ac:dyDescent="0.2">
      <c r="A113" s="22"/>
    </row>
    <row r="114" spans="1:2" x14ac:dyDescent="0.2">
      <c r="A114" s="22"/>
    </row>
    <row r="115" spans="1:2" x14ac:dyDescent="0.2">
      <c r="A115" s="22"/>
    </row>
    <row r="116" spans="1:2" x14ac:dyDescent="0.2">
      <c r="A116" s="22"/>
    </row>
    <row r="117" spans="1:2" x14ac:dyDescent="0.2">
      <c r="A117" s="22"/>
    </row>
    <row r="118" spans="1:2" x14ac:dyDescent="0.2">
      <c r="A118" s="22"/>
    </row>
    <row r="119" spans="1:2" x14ac:dyDescent="0.2">
      <c r="A119" s="22"/>
      <c r="B119" s="23"/>
    </row>
    <row r="120" spans="1:2" x14ac:dyDescent="0.2">
      <c r="A120" s="22"/>
      <c r="B120" s="23"/>
    </row>
    <row r="121" spans="1:2" x14ac:dyDescent="0.2">
      <c r="A121" s="22"/>
      <c r="B121" s="23"/>
    </row>
    <row r="122" spans="1:2" x14ac:dyDescent="0.2">
      <c r="A122" s="22"/>
    </row>
    <row r="123" spans="1:2" x14ac:dyDescent="0.2">
      <c r="A123" s="22"/>
    </row>
    <row r="124" spans="1:2" x14ac:dyDescent="0.2">
      <c r="A124" s="22"/>
    </row>
    <row r="125" spans="1:2" x14ac:dyDescent="0.2">
      <c r="A125" s="22"/>
    </row>
    <row r="126" spans="1:2" x14ac:dyDescent="0.2">
      <c r="A126" s="22"/>
    </row>
    <row r="127" spans="1:2" x14ac:dyDescent="0.2">
      <c r="A127" s="22"/>
    </row>
    <row r="128" spans="1:2" x14ac:dyDescent="0.2">
      <c r="A128" s="22"/>
    </row>
    <row r="129" spans="1:1" x14ac:dyDescent="0.2">
      <c r="A129" s="22"/>
    </row>
    <row r="130" spans="1:1" x14ac:dyDescent="0.2">
      <c r="A130" s="22"/>
    </row>
    <row r="131" spans="1:1" x14ac:dyDescent="0.2">
      <c r="A131" s="22"/>
    </row>
    <row r="132" spans="1:1" x14ac:dyDescent="0.2">
      <c r="A132" s="22"/>
    </row>
    <row r="133" spans="1:1" x14ac:dyDescent="0.2">
      <c r="A133" s="22"/>
    </row>
    <row r="134" spans="1:1" x14ac:dyDescent="0.2">
      <c r="A134" s="22"/>
    </row>
    <row r="135" spans="1:1" x14ac:dyDescent="0.2">
      <c r="A135" s="22"/>
    </row>
    <row r="136" spans="1:1" x14ac:dyDescent="0.2">
      <c r="A136" s="22"/>
    </row>
    <row r="137" spans="1:1" x14ac:dyDescent="0.2">
      <c r="A137" s="22"/>
    </row>
    <row r="138" spans="1:1" x14ac:dyDescent="0.2">
      <c r="A138" s="22"/>
    </row>
    <row r="139" spans="1:1" x14ac:dyDescent="0.2">
      <c r="A139" s="22"/>
    </row>
    <row r="140" spans="1:1" x14ac:dyDescent="0.2">
      <c r="A140" s="22"/>
    </row>
    <row r="141" spans="1:1" x14ac:dyDescent="0.2">
      <c r="A141" s="22"/>
    </row>
    <row r="142" spans="1:1" x14ac:dyDescent="0.2">
      <c r="A142" s="22"/>
    </row>
    <row r="143" spans="1:1" x14ac:dyDescent="0.2">
      <c r="A143" s="22"/>
    </row>
    <row r="144" spans="1:1" x14ac:dyDescent="0.2">
      <c r="A144" s="22"/>
    </row>
    <row r="145" spans="1:1" x14ac:dyDescent="0.2">
      <c r="A145" s="22"/>
    </row>
    <row r="146" spans="1:1" x14ac:dyDescent="0.2">
      <c r="A146" s="22"/>
    </row>
    <row r="147" spans="1:1" x14ac:dyDescent="0.2">
      <c r="A147" s="22"/>
    </row>
    <row r="148" spans="1:1" x14ac:dyDescent="0.2">
      <c r="A148" s="22"/>
    </row>
    <row r="149" spans="1:1" x14ac:dyDescent="0.2">
      <c r="A149" s="22"/>
    </row>
    <row r="150" spans="1:1" x14ac:dyDescent="0.2">
      <c r="A150" s="22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B76B0-B2E2-B343-8068-80A0D8278624}">
  <sheetPr codeName="Sheet12"/>
  <dimension ref="A1:Y150"/>
  <sheetViews>
    <sheetView zoomScale="94" zoomScaleNormal="94" workbookViewId="0">
      <selection activeCell="J13" sqref="J13"/>
    </sheetView>
  </sheetViews>
  <sheetFormatPr baseColWidth="10" defaultColWidth="11" defaultRowHeight="16" x14ac:dyDescent="0.2"/>
  <cols>
    <col min="1" max="1" width="16.1640625" customWidth="1"/>
    <col min="2" max="2" width="22.1640625" customWidth="1"/>
    <col min="3" max="3" width="16.83203125" customWidth="1"/>
    <col min="4" max="4" width="15.33203125" customWidth="1"/>
  </cols>
  <sheetData>
    <row r="1" spans="1:25" ht="21" x14ac:dyDescent="0.25">
      <c r="A1" s="20" t="s">
        <v>24</v>
      </c>
      <c r="B1" s="20" t="s">
        <v>55</v>
      </c>
      <c r="C1" s="20" t="s">
        <v>56</v>
      </c>
      <c r="D1" s="20" t="s">
        <v>57</v>
      </c>
      <c r="E1" s="20" t="s">
        <v>29</v>
      </c>
    </row>
    <row r="2" spans="1:25" ht="21" x14ac:dyDescent="0.25">
      <c r="A2" s="20">
        <v>68.650000000000006</v>
      </c>
      <c r="B2" s="20">
        <v>69</v>
      </c>
      <c r="C2" s="20">
        <v>68.2</v>
      </c>
      <c r="D2" s="20">
        <v>0.4</v>
      </c>
      <c r="E2" s="21">
        <v>3</v>
      </c>
    </row>
    <row r="4" spans="1:25" x14ac:dyDescent="0.2">
      <c r="B4" t="s">
        <v>37</v>
      </c>
      <c r="G4" s="6" t="s">
        <v>25</v>
      </c>
      <c r="H4" s="6" t="s">
        <v>26</v>
      </c>
      <c r="I4" s="6" t="s">
        <v>27</v>
      </c>
      <c r="J4" s="6" t="s">
        <v>28</v>
      </c>
      <c r="N4" s="3" t="s">
        <v>25</v>
      </c>
      <c r="O4" s="3" t="s">
        <v>26</v>
      </c>
      <c r="P4" s="3" t="s">
        <v>27</v>
      </c>
      <c r="Q4" s="3" t="s">
        <v>28</v>
      </c>
      <c r="U4" s="4" t="s">
        <v>25</v>
      </c>
      <c r="V4" s="4" t="s">
        <v>26</v>
      </c>
      <c r="W4" s="4" t="s">
        <v>27</v>
      </c>
      <c r="X4" s="4" t="s">
        <v>28</v>
      </c>
    </row>
    <row r="5" spans="1:25" x14ac:dyDescent="0.2">
      <c r="B5">
        <v>89.63</v>
      </c>
      <c r="G5" s="6">
        <v>68</v>
      </c>
      <c r="H5" s="6">
        <v>6.5</v>
      </c>
      <c r="I5" s="6">
        <v>39</v>
      </c>
      <c r="J5" s="6"/>
      <c r="N5" s="3">
        <f>G5</f>
        <v>68</v>
      </c>
      <c r="O5" s="3">
        <f>H5+0.25</f>
        <v>6.75</v>
      </c>
      <c r="P5" s="3">
        <f>I5</f>
        <v>39</v>
      </c>
      <c r="Q5" s="3"/>
      <c r="U5" s="3">
        <f>N5</f>
        <v>68</v>
      </c>
      <c r="V5" s="3">
        <f>H5+0.5</f>
        <v>7</v>
      </c>
      <c r="W5" s="3">
        <f>P5</f>
        <v>39</v>
      </c>
      <c r="X5" s="4"/>
    </row>
    <row r="8" spans="1:25" x14ac:dyDescent="0.2">
      <c r="A8" s="5" t="s">
        <v>30</v>
      </c>
      <c r="B8" s="5" t="s">
        <v>31</v>
      </c>
      <c r="C8" s="5" t="s">
        <v>38</v>
      </c>
      <c r="D8" s="5" t="s">
        <v>39</v>
      </c>
      <c r="F8" s="6" t="s">
        <v>30</v>
      </c>
      <c r="G8" s="6" t="s">
        <v>31</v>
      </c>
      <c r="H8" s="6" t="s">
        <v>32</v>
      </c>
      <c r="I8" s="6" t="s">
        <v>33</v>
      </c>
      <c r="J8" s="6" t="s">
        <v>34</v>
      </c>
      <c r="K8" s="6" t="s">
        <v>35</v>
      </c>
      <c r="M8" s="3" t="s">
        <v>30</v>
      </c>
      <c r="N8" s="3" t="s">
        <v>31</v>
      </c>
      <c r="O8" s="3" t="s">
        <v>32</v>
      </c>
      <c r="P8" s="3" t="s">
        <v>33</v>
      </c>
      <c r="Q8" s="3" t="s">
        <v>34</v>
      </c>
      <c r="R8" s="3" t="s">
        <v>35</v>
      </c>
      <c r="T8" s="4" t="s">
        <v>30</v>
      </c>
      <c r="U8" s="4" t="s">
        <v>31</v>
      </c>
      <c r="V8" s="4" t="s">
        <v>32</v>
      </c>
      <c r="W8" s="4" t="s">
        <v>33</v>
      </c>
      <c r="X8" s="4" t="s">
        <v>34</v>
      </c>
      <c r="Y8" s="4" t="s">
        <v>35</v>
      </c>
    </row>
    <row r="9" spans="1:25" x14ac:dyDescent="0.2">
      <c r="A9" s="5"/>
      <c r="B9" s="5"/>
      <c r="C9" s="5"/>
      <c r="D9" s="5"/>
      <c r="F9" s="6">
        <v>0</v>
      </c>
      <c r="G9" s="6">
        <v>68.650000000000006</v>
      </c>
      <c r="H9" s="6">
        <v>1.8</v>
      </c>
      <c r="I9" s="6">
        <v>1.0900000000000001</v>
      </c>
      <c r="J9" s="6">
        <v>0</v>
      </c>
      <c r="K9" s="6">
        <v>0</v>
      </c>
      <c r="M9" s="3">
        <v>0</v>
      </c>
      <c r="N9" s="3">
        <v>68.650000000000006</v>
      </c>
      <c r="O9" s="3">
        <v>1.83</v>
      </c>
      <c r="P9" s="3">
        <v>1.1100000000000001</v>
      </c>
      <c r="Q9" s="3">
        <v>0</v>
      </c>
      <c r="R9" s="3">
        <v>0</v>
      </c>
      <c r="T9" s="4">
        <v>0</v>
      </c>
      <c r="U9" s="4">
        <v>68.650000000000006</v>
      </c>
      <c r="V9" s="4">
        <v>1.86</v>
      </c>
      <c r="W9" s="4">
        <v>1.1399999999999999</v>
      </c>
      <c r="X9" s="4">
        <v>0</v>
      </c>
      <c r="Y9" s="4">
        <v>0</v>
      </c>
    </row>
    <row r="10" spans="1:25" x14ac:dyDescent="0.2">
      <c r="A10" s="5"/>
      <c r="B10" s="5"/>
      <c r="C10" s="5"/>
      <c r="D10" s="5"/>
      <c r="F10" s="6">
        <v>0.51</v>
      </c>
      <c r="G10" s="6">
        <v>69</v>
      </c>
      <c r="H10" s="6">
        <v>2.02</v>
      </c>
      <c r="I10" s="6">
        <v>0.95</v>
      </c>
      <c r="J10" s="6">
        <v>11.81</v>
      </c>
      <c r="K10" s="6">
        <v>-12.58</v>
      </c>
      <c r="M10" s="3">
        <v>0.51</v>
      </c>
      <c r="N10" s="3">
        <v>69</v>
      </c>
      <c r="O10" s="3">
        <v>2.0499999999999998</v>
      </c>
      <c r="P10" s="3">
        <v>0.98</v>
      </c>
      <c r="Q10" s="3">
        <v>11.6</v>
      </c>
      <c r="R10" s="3">
        <v>-12.33</v>
      </c>
      <c r="T10" s="4">
        <v>0.51</v>
      </c>
      <c r="U10" s="4">
        <v>69</v>
      </c>
      <c r="V10" s="4">
        <v>2.0699999999999998</v>
      </c>
      <c r="W10" s="4">
        <v>1</v>
      </c>
      <c r="X10" s="4">
        <v>11.41</v>
      </c>
      <c r="Y10" s="4">
        <v>-12.1</v>
      </c>
    </row>
    <row r="11" spans="1:25" x14ac:dyDescent="0.2">
      <c r="A11" s="5"/>
      <c r="B11" s="5"/>
      <c r="C11" s="5"/>
      <c r="D11" s="5"/>
      <c r="F11" s="6">
        <v>-0.66</v>
      </c>
      <c r="G11" s="6">
        <v>68.2</v>
      </c>
      <c r="H11" s="6">
        <v>1.55</v>
      </c>
      <c r="I11" s="6">
        <v>1.28</v>
      </c>
      <c r="J11" s="6">
        <v>-14.1</v>
      </c>
      <c r="K11" s="6">
        <v>17.98</v>
      </c>
      <c r="M11" s="3">
        <v>-0.66</v>
      </c>
      <c r="N11" s="3">
        <v>68.2</v>
      </c>
      <c r="O11" s="3">
        <v>1.58</v>
      </c>
      <c r="P11" s="3">
        <v>1.31</v>
      </c>
      <c r="Q11" s="3">
        <v>-13.87</v>
      </c>
      <c r="R11" s="3">
        <v>17.59</v>
      </c>
      <c r="T11" s="4">
        <v>-0.66</v>
      </c>
      <c r="U11" s="4">
        <v>68.2</v>
      </c>
      <c r="V11" s="4">
        <v>1.61</v>
      </c>
      <c r="W11" s="4">
        <v>1.33</v>
      </c>
      <c r="X11" s="4">
        <v>-13.65</v>
      </c>
      <c r="Y11" s="4">
        <v>17.22</v>
      </c>
    </row>
    <row r="12" spans="1:25" x14ac:dyDescent="0.2">
      <c r="A12" s="5"/>
      <c r="B12" s="5"/>
      <c r="C12" s="5"/>
      <c r="D12" s="5"/>
      <c r="F12" s="6">
        <v>2.91</v>
      </c>
      <c r="G12" s="6">
        <v>70.650000000000006</v>
      </c>
      <c r="H12" s="6">
        <v>3.19</v>
      </c>
      <c r="I12" s="6">
        <v>0.47</v>
      </c>
      <c r="J12" s="6">
        <v>76.569999999999993</v>
      </c>
      <c r="K12" s="6">
        <v>-56.8</v>
      </c>
      <c r="M12" s="3">
        <v>2.91</v>
      </c>
      <c r="N12" s="3">
        <v>70.650000000000006</v>
      </c>
      <c r="O12" s="3">
        <v>3.21</v>
      </c>
      <c r="P12" s="3">
        <v>0.49</v>
      </c>
      <c r="Q12" s="3">
        <v>75.12</v>
      </c>
      <c r="R12" s="3">
        <v>-55.98</v>
      </c>
      <c r="T12" s="4">
        <v>2.91</v>
      </c>
      <c r="U12" s="4">
        <v>70.650000000000006</v>
      </c>
      <c r="V12" s="4">
        <v>3.23</v>
      </c>
      <c r="W12" s="4">
        <v>0.51</v>
      </c>
      <c r="X12" s="4">
        <v>73.739999999999995</v>
      </c>
      <c r="Y12" s="4">
        <v>-55.19</v>
      </c>
    </row>
    <row r="13" spans="1:25" x14ac:dyDescent="0.2">
      <c r="A13" s="5"/>
      <c r="B13" s="5"/>
      <c r="C13" s="5"/>
      <c r="D13" s="5"/>
      <c r="F13" s="6">
        <v>2.33</v>
      </c>
      <c r="G13" s="6">
        <v>70.25</v>
      </c>
      <c r="H13" s="6">
        <v>2.88</v>
      </c>
      <c r="I13" s="6">
        <v>0.56000000000000005</v>
      </c>
      <c r="J13" s="6">
        <v>59.6</v>
      </c>
      <c r="K13" s="6">
        <v>-48.19</v>
      </c>
      <c r="M13" s="3">
        <v>2.33</v>
      </c>
      <c r="N13" s="3">
        <v>70.25</v>
      </c>
      <c r="O13" s="3">
        <v>2.9</v>
      </c>
      <c r="P13" s="3">
        <v>0.59</v>
      </c>
      <c r="Q13" s="3">
        <v>58.49</v>
      </c>
      <c r="R13" s="3">
        <v>-47.43</v>
      </c>
      <c r="T13" s="4">
        <v>2.33</v>
      </c>
      <c r="U13" s="4">
        <v>70.25</v>
      </c>
      <c r="V13" s="4">
        <v>2.93</v>
      </c>
      <c r="W13" s="4">
        <v>0.61</v>
      </c>
      <c r="X13" s="4">
        <v>57.43</v>
      </c>
      <c r="Y13" s="4">
        <v>-46.71</v>
      </c>
    </row>
    <row r="14" spans="1:25" x14ac:dyDescent="0.2">
      <c r="A14" s="5"/>
      <c r="B14" s="5"/>
      <c r="C14" s="5"/>
      <c r="D14" s="5"/>
      <c r="F14" s="6">
        <v>1.75</v>
      </c>
      <c r="G14" s="6">
        <v>69.849999999999994</v>
      </c>
      <c r="H14" s="6">
        <v>2.59</v>
      </c>
      <c r="I14" s="6">
        <v>0.67</v>
      </c>
      <c r="J14" s="6">
        <v>43.4</v>
      </c>
      <c r="K14" s="6">
        <v>-38.29</v>
      </c>
      <c r="M14" s="3">
        <v>1.75</v>
      </c>
      <c r="N14" s="3">
        <v>69.849999999999994</v>
      </c>
      <c r="O14" s="3">
        <v>2.61</v>
      </c>
      <c r="P14" s="3">
        <v>0.69</v>
      </c>
      <c r="Q14" s="3">
        <v>42.61</v>
      </c>
      <c r="R14" s="3">
        <v>-37.64</v>
      </c>
      <c r="T14" s="4">
        <v>1.75</v>
      </c>
      <c r="U14" s="4">
        <v>69.849999999999994</v>
      </c>
      <c r="V14" s="4">
        <v>2.64</v>
      </c>
      <c r="W14" s="4">
        <v>0.72</v>
      </c>
      <c r="X14" s="4">
        <v>41.85</v>
      </c>
      <c r="Y14" s="4">
        <v>-37.03</v>
      </c>
    </row>
    <row r="15" spans="1:25" x14ac:dyDescent="0.2">
      <c r="A15" s="5"/>
      <c r="B15" s="5"/>
      <c r="C15" s="5"/>
      <c r="D15" s="5"/>
      <c r="F15" s="6">
        <v>1.17</v>
      </c>
      <c r="G15" s="6">
        <v>69.45</v>
      </c>
      <c r="H15" s="6">
        <v>2.31</v>
      </c>
      <c r="I15" s="6">
        <v>0.79</v>
      </c>
      <c r="J15" s="6">
        <v>28.04</v>
      </c>
      <c r="K15" s="6">
        <v>-27.02</v>
      </c>
      <c r="M15" s="3">
        <v>1.17</v>
      </c>
      <c r="N15" s="3">
        <v>69.45</v>
      </c>
      <c r="O15" s="3">
        <v>2.34</v>
      </c>
      <c r="P15" s="3">
        <v>0.82</v>
      </c>
      <c r="Q15" s="3">
        <v>27.53</v>
      </c>
      <c r="R15" s="3">
        <v>-26.53</v>
      </c>
      <c r="T15" s="4">
        <v>1.17</v>
      </c>
      <c r="U15" s="4">
        <v>69.45</v>
      </c>
      <c r="V15" s="4">
        <v>2.36</v>
      </c>
      <c r="W15" s="4">
        <v>0.84</v>
      </c>
      <c r="X15" s="4">
        <v>27.06</v>
      </c>
      <c r="Y15" s="4">
        <v>-26.06</v>
      </c>
    </row>
    <row r="16" spans="1:25" x14ac:dyDescent="0.2">
      <c r="A16" s="5"/>
      <c r="B16" s="5"/>
      <c r="C16" s="5"/>
      <c r="D16" s="5"/>
      <c r="F16" s="6">
        <v>0.57999999999999996</v>
      </c>
      <c r="G16" s="6">
        <v>69.05</v>
      </c>
      <c r="H16" s="6">
        <v>2.0499999999999998</v>
      </c>
      <c r="I16" s="6">
        <v>0.93</v>
      </c>
      <c r="J16" s="6">
        <v>13.55</v>
      </c>
      <c r="K16" s="6">
        <v>-14.28</v>
      </c>
      <c r="M16" s="3">
        <v>0.57999999999999996</v>
      </c>
      <c r="N16" s="3">
        <v>69.05</v>
      </c>
      <c r="O16" s="3">
        <v>2.08</v>
      </c>
      <c r="P16" s="3">
        <v>0.96</v>
      </c>
      <c r="Q16" s="3">
        <v>13.32</v>
      </c>
      <c r="R16" s="3">
        <v>-14</v>
      </c>
      <c r="T16" s="4">
        <v>0.57999999999999996</v>
      </c>
      <c r="U16" s="4">
        <v>69.05</v>
      </c>
      <c r="V16" s="4">
        <v>2.1</v>
      </c>
      <c r="W16" s="4">
        <v>0.98</v>
      </c>
      <c r="X16" s="4">
        <v>13.09</v>
      </c>
      <c r="Y16" s="4">
        <v>-13.74</v>
      </c>
    </row>
    <row r="17" spans="1:25" x14ac:dyDescent="0.2">
      <c r="A17" s="5"/>
      <c r="B17" s="5"/>
      <c r="C17" s="5"/>
      <c r="D17" s="5"/>
      <c r="F17" s="6">
        <v>0</v>
      </c>
      <c r="G17" s="6">
        <v>68.650000000000006</v>
      </c>
      <c r="H17" s="6">
        <v>1.8</v>
      </c>
      <c r="I17" s="6">
        <v>1.0900000000000001</v>
      </c>
      <c r="J17" s="6">
        <v>0</v>
      </c>
      <c r="K17" s="6">
        <v>0</v>
      </c>
      <c r="M17" s="3">
        <v>0</v>
      </c>
      <c r="N17" s="3">
        <v>68.650000000000006</v>
      </c>
      <c r="O17" s="3">
        <v>1.83</v>
      </c>
      <c r="P17" s="3">
        <v>1.1100000000000001</v>
      </c>
      <c r="Q17" s="3">
        <v>0</v>
      </c>
      <c r="R17" s="3">
        <v>0</v>
      </c>
      <c r="T17" s="4">
        <v>0</v>
      </c>
      <c r="U17" s="4">
        <v>68.650000000000006</v>
      </c>
      <c r="V17" s="4">
        <v>1.86</v>
      </c>
      <c r="W17" s="4">
        <v>1.1399999999999999</v>
      </c>
      <c r="X17" s="4">
        <v>0</v>
      </c>
      <c r="Y17" s="4">
        <v>0</v>
      </c>
    </row>
    <row r="18" spans="1:25" x14ac:dyDescent="0.2">
      <c r="A18" s="5"/>
      <c r="B18" s="5"/>
      <c r="C18" s="5"/>
      <c r="D18" s="5"/>
      <c r="F18" s="6">
        <v>-0.57999999999999996</v>
      </c>
      <c r="G18" s="6">
        <v>68.25</v>
      </c>
      <c r="H18" s="6">
        <v>1.58</v>
      </c>
      <c r="I18" s="6">
        <v>1.26</v>
      </c>
      <c r="J18" s="6">
        <v>-12.59</v>
      </c>
      <c r="K18" s="6">
        <v>15.88</v>
      </c>
      <c r="M18" s="3">
        <v>-0.57999999999999996</v>
      </c>
      <c r="N18" s="3">
        <v>68.25</v>
      </c>
      <c r="O18" s="3">
        <v>1.61</v>
      </c>
      <c r="P18" s="3">
        <v>1.29</v>
      </c>
      <c r="Q18" s="3">
        <v>-12.39</v>
      </c>
      <c r="R18" s="3">
        <v>15.54</v>
      </c>
      <c r="T18" s="4">
        <v>-0.57999999999999996</v>
      </c>
      <c r="U18" s="4">
        <v>68.25</v>
      </c>
      <c r="V18" s="4">
        <v>1.63</v>
      </c>
      <c r="W18" s="4">
        <v>1.31</v>
      </c>
      <c r="X18" s="4">
        <v>-12.19</v>
      </c>
      <c r="Y18" s="4">
        <v>15.22</v>
      </c>
    </row>
    <row r="19" spans="1:25" x14ac:dyDescent="0.2">
      <c r="A19" s="5"/>
      <c r="B19" s="5"/>
      <c r="C19" s="5"/>
      <c r="D19" s="5"/>
      <c r="F19" s="6">
        <v>-1.17</v>
      </c>
      <c r="G19" s="6">
        <v>67.849999999999994</v>
      </c>
      <c r="H19" s="6">
        <v>1.37</v>
      </c>
      <c r="I19" s="6">
        <v>1.45</v>
      </c>
      <c r="J19" s="6">
        <v>-24.19</v>
      </c>
      <c r="K19" s="6">
        <v>33.39</v>
      </c>
      <c r="M19" s="3">
        <v>-1.17</v>
      </c>
      <c r="N19" s="3">
        <v>67.849999999999994</v>
      </c>
      <c r="O19" s="3">
        <v>1.4</v>
      </c>
      <c r="P19" s="3">
        <v>1.48</v>
      </c>
      <c r="Q19" s="3">
        <v>-23.82</v>
      </c>
      <c r="R19" s="3">
        <v>32.65</v>
      </c>
      <c r="T19" s="4">
        <v>-1.17</v>
      </c>
      <c r="U19" s="4">
        <v>67.849999999999994</v>
      </c>
      <c r="V19" s="4">
        <v>1.42</v>
      </c>
      <c r="W19" s="4">
        <v>1.5</v>
      </c>
      <c r="X19" s="4">
        <v>-23.46</v>
      </c>
      <c r="Y19" s="4">
        <v>31.94</v>
      </c>
    </row>
    <row r="20" spans="1:25" x14ac:dyDescent="0.2">
      <c r="A20" s="5"/>
      <c r="B20" s="5"/>
      <c r="C20" s="5"/>
      <c r="D20" s="5"/>
      <c r="F20" s="6">
        <v>-1.75</v>
      </c>
      <c r="G20" s="6">
        <v>67.45</v>
      </c>
      <c r="H20" s="6">
        <v>1.18</v>
      </c>
      <c r="I20" s="6">
        <v>1.66</v>
      </c>
      <c r="J20" s="6">
        <v>-34.79</v>
      </c>
      <c r="K20" s="6">
        <v>52.57</v>
      </c>
      <c r="M20" s="3">
        <v>-1.75</v>
      </c>
      <c r="N20" s="3">
        <v>67.45</v>
      </c>
      <c r="O20" s="3">
        <v>1.2</v>
      </c>
      <c r="P20" s="3">
        <v>1.69</v>
      </c>
      <c r="Q20" s="3">
        <v>-34.28</v>
      </c>
      <c r="R20" s="3">
        <v>51.34</v>
      </c>
      <c r="T20" s="4">
        <v>-1.75</v>
      </c>
      <c r="U20" s="4">
        <v>67.45</v>
      </c>
      <c r="V20" s="4">
        <v>1.23</v>
      </c>
      <c r="W20" s="4">
        <v>1.71</v>
      </c>
      <c r="X20" s="4">
        <v>-33.79</v>
      </c>
      <c r="Y20" s="4">
        <v>50.2</v>
      </c>
    </row>
    <row r="21" spans="1:25" x14ac:dyDescent="0.2">
      <c r="A21" s="5"/>
      <c r="B21" s="5"/>
      <c r="C21" s="5"/>
      <c r="D21" s="5"/>
      <c r="F21" s="6">
        <v>-2.33</v>
      </c>
      <c r="G21" s="6">
        <v>67.05</v>
      </c>
      <c r="H21" s="6">
        <v>1</v>
      </c>
      <c r="I21" s="6">
        <v>1.89</v>
      </c>
      <c r="J21" s="6">
        <v>-44.4</v>
      </c>
      <c r="K21" s="6">
        <v>73.400000000000006</v>
      </c>
      <c r="M21" s="3">
        <v>-2.33</v>
      </c>
      <c r="N21" s="3">
        <v>67.05</v>
      </c>
      <c r="O21" s="3">
        <v>1.03</v>
      </c>
      <c r="P21" s="3">
        <v>1.91</v>
      </c>
      <c r="Q21" s="3">
        <v>-43.78</v>
      </c>
      <c r="R21" s="3">
        <v>71.64</v>
      </c>
      <c r="T21" s="4">
        <v>-2.33</v>
      </c>
      <c r="U21" s="4">
        <v>67.05</v>
      </c>
      <c r="V21" s="4">
        <v>1.06</v>
      </c>
      <c r="W21" s="4">
        <v>1.94</v>
      </c>
      <c r="X21" s="4">
        <v>-43.19</v>
      </c>
      <c r="Y21" s="4">
        <v>69.98</v>
      </c>
    </row>
    <row r="22" spans="1:25" x14ac:dyDescent="0.2">
      <c r="A22" s="5"/>
      <c r="B22" s="5"/>
      <c r="C22" s="5"/>
      <c r="D22" s="5"/>
      <c r="F22" s="6">
        <v>-2.91</v>
      </c>
      <c r="G22" s="6">
        <v>66.650000000000006</v>
      </c>
      <c r="H22" s="6">
        <v>0.85</v>
      </c>
      <c r="I22" s="6">
        <v>2.13</v>
      </c>
      <c r="J22" s="6">
        <v>-53.01</v>
      </c>
      <c r="K22" s="6">
        <v>95.87</v>
      </c>
      <c r="M22" s="3">
        <v>-2.91</v>
      </c>
      <c r="N22" s="3">
        <v>66.650000000000006</v>
      </c>
      <c r="O22" s="3">
        <v>0.87</v>
      </c>
      <c r="P22" s="3">
        <v>2.15</v>
      </c>
      <c r="Q22" s="3">
        <v>-52.32</v>
      </c>
      <c r="R22" s="3">
        <v>93.5</v>
      </c>
      <c r="T22" s="4">
        <v>-2.91</v>
      </c>
      <c r="U22" s="4">
        <v>66.650000000000006</v>
      </c>
      <c r="V22" s="4">
        <v>0.9</v>
      </c>
      <c r="W22" s="4">
        <v>2.1800000000000002</v>
      </c>
      <c r="X22" s="4">
        <v>-51.66</v>
      </c>
      <c r="Y22" s="4">
        <v>91.28</v>
      </c>
    </row>
    <row r="23" spans="1:25" x14ac:dyDescent="0.2">
      <c r="A23" s="5"/>
      <c r="B23" s="5"/>
      <c r="C23" s="5"/>
      <c r="D23" s="5"/>
      <c r="F23" s="6">
        <v>-3.5</v>
      </c>
      <c r="G23" s="6">
        <v>66.25</v>
      </c>
      <c r="H23" s="6">
        <v>0.71</v>
      </c>
      <c r="I23" s="6">
        <v>2.39</v>
      </c>
      <c r="J23" s="6">
        <v>-60.66</v>
      </c>
      <c r="K23" s="6">
        <v>119.94</v>
      </c>
      <c r="M23" s="3">
        <v>-3.5</v>
      </c>
      <c r="N23" s="3">
        <v>66.25</v>
      </c>
      <c r="O23" s="3">
        <v>0.73</v>
      </c>
      <c r="P23" s="3">
        <v>2.42</v>
      </c>
      <c r="Q23" s="3">
        <v>-59.93</v>
      </c>
      <c r="R23" s="3">
        <v>116.9</v>
      </c>
      <c r="T23" s="4">
        <v>-3.5</v>
      </c>
      <c r="U23" s="4">
        <v>66.25</v>
      </c>
      <c r="V23" s="4">
        <v>0.76</v>
      </c>
      <c r="W23" s="4">
        <v>2.44</v>
      </c>
      <c r="X23" s="4">
        <v>-59.22</v>
      </c>
      <c r="Y23" s="4">
        <v>114.05</v>
      </c>
    </row>
    <row r="24" spans="1:25" x14ac:dyDescent="0.2">
      <c r="A24" s="5"/>
      <c r="B24" s="5"/>
      <c r="C24" s="5"/>
      <c r="D24" s="5"/>
      <c r="F24" s="6">
        <v>-4.08</v>
      </c>
      <c r="G24" s="6">
        <v>65.849999999999994</v>
      </c>
      <c r="H24" s="6">
        <v>0.59</v>
      </c>
      <c r="I24" s="6">
        <v>2.67</v>
      </c>
      <c r="J24" s="6">
        <v>-67.39</v>
      </c>
      <c r="K24" s="6">
        <v>145.54</v>
      </c>
      <c r="M24" s="3">
        <v>-4.08</v>
      </c>
      <c r="N24" s="3">
        <v>65.849999999999994</v>
      </c>
      <c r="O24" s="3">
        <v>0.61</v>
      </c>
      <c r="P24" s="3">
        <v>2.69</v>
      </c>
      <c r="Q24" s="3">
        <v>-66.64</v>
      </c>
      <c r="R24" s="3">
        <v>141.77000000000001</v>
      </c>
      <c r="T24" s="4">
        <v>-4.08</v>
      </c>
      <c r="U24" s="4">
        <v>65.849999999999994</v>
      </c>
      <c r="V24" s="4">
        <v>0.63</v>
      </c>
      <c r="W24" s="4">
        <v>2.71</v>
      </c>
      <c r="X24" s="4">
        <v>-65.92</v>
      </c>
      <c r="Y24" s="4">
        <v>138.24</v>
      </c>
    </row>
    <row r="25" spans="1:25" x14ac:dyDescent="0.2">
      <c r="A25" s="5"/>
      <c r="B25" s="5"/>
      <c r="C25" s="5"/>
      <c r="D25" s="5"/>
      <c r="F25" s="6"/>
      <c r="G25" s="6"/>
      <c r="H25" s="6"/>
      <c r="I25" s="6"/>
      <c r="J25" s="6"/>
      <c r="K25" s="6"/>
      <c r="M25" s="3"/>
      <c r="N25" s="3"/>
      <c r="O25" s="3"/>
      <c r="P25" s="3"/>
      <c r="Q25" s="3"/>
      <c r="R25" s="3"/>
      <c r="T25" s="4"/>
      <c r="U25" s="4"/>
      <c r="V25" s="4"/>
      <c r="W25" s="4"/>
      <c r="X25" s="4"/>
      <c r="Y25" s="4"/>
    </row>
    <row r="26" spans="1:25" x14ac:dyDescent="0.2">
      <c r="A26" s="5"/>
      <c r="B26" s="5"/>
      <c r="C26" s="5"/>
      <c r="D26" s="5"/>
      <c r="F26" s="6"/>
      <c r="G26" s="6"/>
      <c r="H26" s="6"/>
      <c r="I26" s="6"/>
      <c r="J26" s="6"/>
      <c r="K26" s="6"/>
      <c r="M26" s="3"/>
      <c r="N26" s="3"/>
      <c r="O26" s="3"/>
      <c r="P26" s="3"/>
      <c r="Q26" s="3"/>
      <c r="R26" s="3"/>
      <c r="T26" s="4"/>
      <c r="U26" s="4"/>
      <c r="V26" s="4"/>
      <c r="W26" s="4"/>
      <c r="X26" s="4"/>
      <c r="Y26" s="4"/>
    </row>
    <row r="27" spans="1:25" x14ac:dyDescent="0.2">
      <c r="A27" s="5"/>
      <c r="B27" s="5"/>
      <c r="C27" s="5"/>
      <c r="D27" s="5"/>
      <c r="F27" s="6"/>
      <c r="G27" s="6"/>
      <c r="H27" s="6"/>
      <c r="I27" s="6"/>
      <c r="J27" s="6"/>
      <c r="K27" s="6"/>
      <c r="M27" s="3"/>
      <c r="N27" s="3"/>
      <c r="O27" s="3"/>
      <c r="P27" s="3"/>
      <c r="Q27" s="3"/>
      <c r="R27" s="3"/>
      <c r="T27" s="4"/>
      <c r="U27" s="4"/>
      <c r="V27" s="4"/>
      <c r="W27" s="4"/>
      <c r="X27" s="4"/>
      <c r="Y27" s="4"/>
    </row>
    <row r="28" spans="1:25" x14ac:dyDescent="0.2">
      <c r="A28" s="5"/>
      <c r="B28" s="5"/>
      <c r="C28" s="5"/>
      <c r="D28" s="5"/>
      <c r="F28" s="6"/>
      <c r="G28" s="6"/>
      <c r="H28" s="6"/>
      <c r="I28" s="6"/>
      <c r="J28" s="6"/>
      <c r="K28" s="6"/>
      <c r="M28" s="3"/>
      <c r="N28" s="3"/>
      <c r="O28" s="3"/>
      <c r="P28" s="3"/>
      <c r="Q28" s="3"/>
      <c r="R28" s="3"/>
      <c r="T28" s="4"/>
      <c r="U28" s="4"/>
      <c r="V28" s="4"/>
      <c r="W28" s="4"/>
      <c r="X28" s="4"/>
      <c r="Y28" s="4"/>
    </row>
    <row r="29" spans="1:25" x14ac:dyDescent="0.2">
      <c r="A29" s="5"/>
      <c r="B29" s="5"/>
      <c r="C29" s="5"/>
      <c r="D29" s="5"/>
      <c r="F29" s="6"/>
      <c r="G29" s="6"/>
      <c r="H29" s="6"/>
      <c r="I29" s="6"/>
      <c r="J29" s="6"/>
      <c r="K29" s="6"/>
      <c r="M29" s="3"/>
      <c r="N29" s="3"/>
      <c r="O29" s="3"/>
      <c r="P29" s="3"/>
      <c r="Q29" s="3"/>
      <c r="R29" s="3"/>
      <c r="T29" s="4"/>
      <c r="U29" s="4"/>
      <c r="V29" s="4"/>
      <c r="W29" s="4"/>
      <c r="X29" s="4"/>
      <c r="Y29" s="4"/>
    </row>
    <row r="30" spans="1:25" x14ac:dyDescent="0.2">
      <c r="A30" s="5"/>
      <c r="B30" s="5"/>
      <c r="C30" s="5"/>
      <c r="D30" s="5"/>
      <c r="F30" s="6"/>
      <c r="G30" s="6"/>
      <c r="H30" s="6"/>
      <c r="I30" s="6"/>
      <c r="J30" s="6"/>
      <c r="K30" s="6"/>
      <c r="M30" s="3"/>
      <c r="N30" s="3"/>
      <c r="O30" s="3"/>
      <c r="P30" s="3"/>
      <c r="Q30" s="3"/>
      <c r="R30" s="3"/>
      <c r="T30" s="4"/>
      <c r="U30" s="4"/>
      <c r="V30" s="4"/>
      <c r="W30" s="4"/>
      <c r="X30" s="4"/>
      <c r="Y30" s="4"/>
    </row>
    <row r="31" spans="1:25" x14ac:dyDescent="0.2">
      <c r="A31" s="5"/>
      <c r="B31" s="5"/>
      <c r="C31" s="5"/>
      <c r="D31" s="5"/>
      <c r="F31" s="6"/>
      <c r="G31" s="6"/>
      <c r="H31" s="6"/>
      <c r="I31" s="6"/>
      <c r="J31" s="6"/>
      <c r="K31" s="6"/>
      <c r="M31" s="3"/>
      <c r="N31" s="3"/>
      <c r="O31" s="3"/>
      <c r="P31" s="3"/>
      <c r="Q31" s="3"/>
      <c r="R31" s="3"/>
      <c r="T31" s="4"/>
      <c r="U31" s="4"/>
      <c r="V31" s="4"/>
      <c r="W31" s="4"/>
      <c r="X31" s="4"/>
      <c r="Y31" s="4"/>
    </row>
    <row r="32" spans="1:25" x14ac:dyDescent="0.2">
      <c r="A32" s="5"/>
      <c r="B32" s="5"/>
      <c r="C32" s="5"/>
      <c r="D32" s="5"/>
      <c r="F32" s="6"/>
      <c r="G32" s="6"/>
      <c r="H32" s="6"/>
      <c r="I32" s="6"/>
      <c r="J32" s="6"/>
      <c r="K32" s="6"/>
      <c r="M32" s="3"/>
      <c r="N32" s="3"/>
      <c r="O32" s="3"/>
      <c r="P32" s="3"/>
      <c r="Q32" s="3"/>
      <c r="R32" s="3"/>
      <c r="T32" s="4"/>
      <c r="U32" s="4"/>
      <c r="V32" s="4"/>
      <c r="W32" s="4"/>
      <c r="X32" s="4"/>
      <c r="Y32" s="4"/>
    </row>
    <row r="51" spans="1:2" x14ac:dyDescent="0.2">
      <c r="A51" s="22"/>
    </row>
    <row r="52" spans="1:2" x14ac:dyDescent="0.2">
      <c r="A52" s="22"/>
    </row>
    <row r="53" spans="1:2" x14ac:dyDescent="0.2">
      <c r="A53" s="22"/>
    </row>
    <row r="54" spans="1:2" x14ac:dyDescent="0.2">
      <c r="A54" s="22"/>
    </row>
    <row r="55" spans="1:2" x14ac:dyDescent="0.2">
      <c r="A55" s="22"/>
      <c r="B55" s="23"/>
    </row>
    <row r="56" spans="1:2" x14ac:dyDescent="0.2">
      <c r="A56" s="22"/>
      <c r="B56" s="23"/>
    </row>
    <row r="57" spans="1:2" x14ac:dyDescent="0.2">
      <c r="A57" s="22"/>
    </row>
    <row r="58" spans="1:2" x14ac:dyDescent="0.2">
      <c r="A58" s="22"/>
      <c r="B58" s="23"/>
    </row>
    <row r="59" spans="1:2" x14ac:dyDescent="0.2">
      <c r="A59" s="22"/>
    </row>
    <row r="60" spans="1:2" x14ac:dyDescent="0.2">
      <c r="A60" s="22"/>
    </row>
    <row r="61" spans="1:2" x14ac:dyDescent="0.2">
      <c r="A61" s="22"/>
      <c r="B61" s="23"/>
    </row>
    <row r="62" spans="1:2" x14ac:dyDescent="0.2">
      <c r="A62" s="22"/>
    </row>
    <row r="63" spans="1:2" x14ac:dyDescent="0.2">
      <c r="A63" s="22"/>
    </row>
    <row r="64" spans="1:2" x14ac:dyDescent="0.2">
      <c r="A64" s="22"/>
      <c r="B64" s="23"/>
    </row>
    <row r="65" spans="1:2" x14ac:dyDescent="0.2">
      <c r="A65" s="22"/>
    </row>
    <row r="66" spans="1:2" x14ac:dyDescent="0.2">
      <c r="A66" s="22"/>
      <c r="B66" s="23"/>
    </row>
    <row r="67" spans="1:2" x14ac:dyDescent="0.2">
      <c r="A67" s="22"/>
    </row>
    <row r="68" spans="1:2" x14ac:dyDescent="0.2">
      <c r="A68" s="22"/>
      <c r="B68" s="23"/>
    </row>
    <row r="69" spans="1:2" x14ac:dyDescent="0.2">
      <c r="A69" s="22"/>
      <c r="B69" s="23"/>
    </row>
    <row r="70" spans="1:2" x14ac:dyDescent="0.2">
      <c r="A70" s="22"/>
      <c r="B70" s="23"/>
    </row>
    <row r="71" spans="1:2" x14ac:dyDescent="0.2">
      <c r="A71" s="22"/>
      <c r="B71" s="23"/>
    </row>
    <row r="72" spans="1:2" x14ac:dyDescent="0.2">
      <c r="A72" s="22"/>
    </row>
    <row r="73" spans="1:2" x14ac:dyDescent="0.2">
      <c r="A73" s="22"/>
    </row>
    <row r="74" spans="1:2" x14ac:dyDescent="0.2">
      <c r="A74" s="22"/>
      <c r="B74" s="23"/>
    </row>
    <row r="75" spans="1:2" x14ac:dyDescent="0.2">
      <c r="A75" s="22"/>
    </row>
    <row r="76" spans="1:2" x14ac:dyDescent="0.2">
      <c r="A76" s="22"/>
    </row>
    <row r="77" spans="1:2" x14ac:dyDescent="0.2">
      <c r="A77" s="22"/>
      <c r="B77" s="23"/>
    </row>
    <row r="78" spans="1:2" x14ac:dyDescent="0.2">
      <c r="A78" s="22"/>
    </row>
    <row r="79" spans="1:2" x14ac:dyDescent="0.2">
      <c r="A79" s="22"/>
    </row>
    <row r="80" spans="1:2" x14ac:dyDescent="0.2">
      <c r="A80" s="22"/>
    </row>
    <row r="81" spans="1:2" x14ac:dyDescent="0.2">
      <c r="A81" s="22"/>
    </row>
    <row r="82" spans="1:2" x14ac:dyDescent="0.2">
      <c r="A82" s="22"/>
    </row>
    <row r="83" spans="1:2" x14ac:dyDescent="0.2">
      <c r="A83" s="22"/>
      <c r="B83" s="23"/>
    </row>
    <row r="84" spans="1:2" x14ac:dyDescent="0.2">
      <c r="A84" s="22"/>
      <c r="B84" s="23"/>
    </row>
    <row r="85" spans="1:2" x14ac:dyDescent="0.2">
      <c r="A85" s="22"/>
    </row>
    <row r="86" spans="1:2" x14ac:dyDescent="0.2">
      <c r="A86" s="22"/>
      <c r="B86" s="23"/>
    </row>
    <row r="87" spans="1:2" x14ac:dyDescent="0.2">
      <c r="A87" s="22"/>
    </row>
    <row r="88" spans="1:2" x14ac:dyDescent="0.2">
      <c r="A88" s="22"/>
    </row>
    <row r="89" spans="1:2" x14ac:dyDescent="0.2">
      <c r="A89" s="22"/>
    </row>
    <row r="90" spans="1:2" x14ac:dyDescent="0.2">
      <c r="A90" s="22"/>
    </row>
    <row r="91" spans="1:2" x14ac:dyDescent="0.2">
      <c r="A91" s="22"/>
    </row>
    <row r="92" spans="1:2" x14ac:dyDescent="0.2">
      <c r="A92" s="22"/>
    </row>
    <row r="93" spans="1:2" x14ac:dyDescent="0.2">
      <c r="A93" s="22"/>
      <c r="B93" s="23"/>
    </row>
    <row r="94" spans="1:2" x14ac:dyDescent="0.2">
      <c r="A94" s="22"/>
      <c r="B94" s="23"/>
    </row>
    <row r="95" spans="1:2" x14ac:dyDescent="0.2">
      <c r="A95" s="22"/>
      <c r="B95" s="23"/>
    </row>
    <row r="96" spans="1:2" x14ac:dyDescent="0.2">
      <c r="A96" s="22"/>
    </row>
    <row r="97" spans="1:2" x14ac:dyDescent="0.2">
      <c r="A97" s="22"/>
    </row>
    <row r="98" spans="1:2" x14ac:dyDescent="0.2">
      <c r="A98" s="22"/>
    </row>
    <row r="99" spans="1:2" x14ac:dyDescent="0.2">
      <c r="A99" s="22"/>
      <c r="B99" s="23"/>
    </row>
    <row r="100" spans="1:2" x14ac:dyDescent="0.2">
      <c r="A100" s="22"/>
    </row>
    <row r="101" spans="1:2" x14ac:dyDescent="0.2">
      <c r="A101" s="22"/>
    </row>
    <row r="102" spans="1:2" x14ac:dyDescent="0.2">
      <c r="A102" s="22"/>
      <c r="B102" s="23"/>
    </row>
    <row r="103" spans="1:2" x14ac:dyDescent="0.2">
      <c r="A103" s="22"/>
      <c r="B103" s="23"/>
    </row>
    <row r="104" spans="1:2" x14ac:dyDescent="0.2">
      <c r="A104" s="22"/>
      <c r="B104" s="23"/>
    </row>
    <row r="105" spans="1:2" x14ac:dyDescent="0.2">
      <c r="A105" s="22"/>
    </row>
    <row r="106" spans="1:2" x14ac:dyDescent="0.2">
      <c r="A106" s="22"/>
    </row>
    <row r="107" spans="1:2" x14ac:dyDescent="0.2">
      <c r="A107" s="22"/>
      <c r="B107" s="23"/>
    </row>
    <row r="108" spans="1:2" x14ac:dyDescent="0.2">
      <c r="A108" s="22"/>
      <c r="B108" s="23"/>
    </row>
    <row r="109" spans="1:2" x14ac:dyDescent="0.2">
      <c r="A109" s="22"/>
      <c r="B109" s="23"/>
    </row>
    <row r="110" spans="1:2" x14ac:dyDescent="0.2">
      <c r="A110" s="22"/>
    </row>
    <row r="111" spans="1:2" x14ac:dyDescent="0.2">
      <c r="A111" s="22"/>
    </row>
    <row r="112" spans="1:2" x14ac:dyDescent="0.2">
      <c r="A112" s="22"/>
    </row>
    <row r="113" spans="1:2" x14ac:dyDescent="0.2">
      <c r="A113" s="22"/>
    </row>
    <row r="114" spans="1:2" x14ac:dyDescent="0.2">
      <c r="A114" s="22"/>
    </row>
    <row r="115" spans="1:2" x14ac:dyDescent="0.2">
      <c r="A115" s="22"/>
    </row>
    <row r="116" spans="1:2" x14ac:dyDescent="0.2">
      <c r="A116" s="22"/>
    </row>
    <row r="117" spans="1:2" x14ac:dyDescent="0.2">
      <c r="A117" s="22"/>
    </row>
    <row r="118" spans="1:2" x14ac:dyDescent="0.2">
      <c r="A118" s="22"/>
    </row>
    <row r="119" spans="1:2" x14ac:dyDescent="0.2">
      <c r="A119" s="22"/>
      <c r="B119" s="23"/>
    </row>
    <row r="120" spans="1:2" x14ac:dyDescent="0.2">
      <c r="A120" s="22"/>
      <c r="B120" s="23"/>
    </row>
    <row r="121" spans="1:2" x14ac:dyDescent="0.2">
      <c r="A121" s="22"/>
      <c r="B121" s="23"/>
    </row>
    <row r="122" spans="1:2" x14ac:dyDescent="0.2">
      <c r="A122" s="22"/>
    </row>
    <row r="123" spans="1:2" x14ac:dyDescent="0.2">
      <c r="A123" s="22"/>
    </row>
    <row r="124" spans="1:2" x14ac:dyDescent="0.2">
      <c r="A124" s="22"/>
    </row>
    <row r="125" spans="1:2" x14ac:dyDescent="0.2">
      <c r="A125" s="22"/>
    </row>
    <row r="126" spans="1:2" x14ac:dyDescent="0.2">
      <c r="A126" s="22"/>
    </row>
    <row r="127" spans="1:2" x14ac:dyDescent="0.2">
      <c r="A127" s="22"/>
    </row>
    <row r="128" spans="1:2" x14ac:dyDescent="0.2">
      <c r="A128" s="22"/>
    </row>
    <row r="129" spans="1:1" x14ac:dyDescent="0.2">
      <c r="A129" s="22"/>
    </row>
    <row r="130" spans="1:1" x14ac:dyDescent="0.2">
      <c r="A130" s="22"/>
    </row>
    <row r="131" spans="1:1" x14ac:dyDescent="0.2">
      <c r="A131" s="22"/>
    </row>
    <row r="132" spans="1:1" x14ac:dyDescent="0.2">
      <c r="A132" s="22"/>
    </row>
    <row r="133" spans="1:1" x14ac:dyDescent="0.2">
      <c r="A133" s="22"/>
    </row>
    <row r="134" spans="1:1" x14ac:dyDescent="0.2">
      <c r="A134" s="22"/>
    </row>
    <row r="135" spans="1:1" x14ac:dyDescent="0.2">
      <c r="A135" s="22"/>
    </row>
    <row r="136" spans="1:1" x14ac:dyDescent="0.2">
      <c r="A136" s="22"/>
    </row>
    <row r="137" spans="1:1" x14ac:dyDescent="0.2">
      <c r="A137" s="22"/>
    </row>
    <row r="138" spans="1:1" x14ac:dyDescent="0.2">
      <c r="A138" s="22"/>
    </row>
    <row r="139" spans="1:1" x14ac:dyDescent="0.2">
      <c r="A139" s="22"/>
    </row>
    <row r="140" spans="1:1" x14ac:dyDescent="0.2">
      <c r="A140" s="22"/>
    </row>
    <row r="141" spans="1:1" x14ac:dyDescent="0.2">
      <c r="A141" s="22"/>
    </row>
    <row r="142" spans="1:1" x14ac:dyDescent="0.2">
      <c r="A142" s="22"/>
    </row>
    <row r="143" spans="1:1" x14ac:dyDescent="0.2">
      <c r="A143" s="22"/>
    </row>
    <row r="144" spans="1:1" x14ac:dyDescent="0.2">
      <c r="A144" s="22"/>
    </row>
    <row r="145" spans="1:1" x14ac:dyDescent="0.2">
      <c r="A145" s="22"/>
    </row>
    <row r="146" spans="1:1" x14ac:dyDescent="0.2">
      <c r="A146" s="22"/>
    </row>
    <row r="147" spans="1:1" x14ac:dyDescent="0.2">
      <c r="A147" s="22"/>
    </row>
    <row r="148" spans="1:1" x14ac:dyDescent="0.2">
      <c r="A148" s="22"/>
    </row>
    <row r="149" spans="1:1" x14ac:dyDescent="0.2">
      <c r="A149" s="22"/>
    </row>
    <row r="150" spans="1:1" x14ac:dyDescent="0.2">
      <c r="A150" s="22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14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StockList</vt:lpstr>
      <vt:lpstr>PYPL</vt:lpstr>
      <vt:lpstr>QQQ</vt:lpstr>
      <vt:lpstr>_xlwings.conf</vt:lpstr>
      <vt:lpstr>StockList!StockListRange</vt:lpstr>
      <vt:lpstr>StockListRange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flora qian</cp:lastModifiedBy>
  <dcterms:created xsi:type="dcterms:W3CDTF">2015-01-25T11:31:25Z</dcterms:created>
  <dcterms:modified xsi:type="dcterms:W3CDTF">2022-12-23T22:34:07Z</dcterms:modified>
</cp:coreProperties>
</file>